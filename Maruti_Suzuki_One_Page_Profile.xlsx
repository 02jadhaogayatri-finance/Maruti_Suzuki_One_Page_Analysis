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gayat\Downloads\"/>
    </mc:Choice>
  </mc:AlternateContent>
  <xr:revisionPtr revIDLastSave="0" documentId="13_ncr:1_{B0FA4737-8599-430F-8993-5AE40F877092}" xr6:coauthVersionLast="47" xr6:coauthVersionMax="47" xr10:uidLastSave="{00000000-0000-0000-0000-000000000000}"/>
  <bookViews>
    <workbookView xWindow="-108" yWindow="-108" windowWidth="23256" windowHeight="12456" xr2:uid="{00000000-000D-0000-FFFF-FFFF00000000}"/>
  </bookViews>
  <sheets>
    <sheet name="Teaser" sheetId="8" r:id="rId1"/>
    <sheet name="DATA&gt;" sheetId="9" r:id="rId2"/>
    <sheet name="Profit &amp; Loss" sheetId="1" r:id="rId3"/>
    <sheet name="Quarters" sheetId="3" r:id="rId4"/>
    <sheet name="Balance Sheet" sheetId="2" r:id="rId5"/>
    <sheet name="Cash Flow" sheetId="4" r:id="rId6"/>
    <sheet name="Data Sheet" sheetId="6" r:id="rId7"/>
    <sheet name="Customization" sheetId="5" r:id="rId8"/>
    <sheet name="Input" sheetId="7" r:id="rId9"/>
  </sheets>
  <definedNames>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4" i="1" l="1"/>
  <c r="F38" i="8"/>
  <c r="F37" i="8"/>
  <c r="F36" i="8"/>
  <c r="F35" i="8"/>
  <c r="E37" i="8"/>
  <c r="E38" i="8"/>
  <c r="E36" i="8"/>
  <c r="E35" i="8"/>
  <c r="C38" i="8"/>
  <c r="C37" i="8"/>
  <c r="C36" i="8"/>
  <c r="C35" i="8"/>
  <c r="B37" i="8"/>
  <c r="B38" i="8"/>
  <c r="B36" i="8"/>
  <c r="Z19" i="7"/>
  <c r="Z20" i="7"/>
  <c r="Z18" i="7"/>
  <c r="Z10" i="7"/>
  <c r="F29" i="8" s="1"/>
  <c r="K46" i="8"/>
  <c r="K45" i="8"/>
  <c r="K44" i="8"/>
  <c r="K48" i="8" s="1"/>
  <c r="K43" i="8"/>
  <c r="K42" i="8"/>
  <c r="Q27" i="7"/>
  <c r="E30" i="8"/>
  <c r="E31" i="8"/>
  <c r="E32" i="8"/>
  <c r="E33" i="8"/>
  <c r="E34" i="8"/>
  <c r="E29" i="8"/>
  <c r="C30" i="8"/>
  <c r="C31" i="8"/>
  <c r="C32" i="8"/>
  <c r="C33" i="8"/>
  <c r="C34" i="8"/>
  <c r="C29" i="8"/>
  <c r="B30" i="8"/>
  <c r="B31" i="8"/>
  <c r="B32" i="8"/>
  <c r="B33" i="8"/>
  <c r="B34" i="8"/>
  <c r="B35" i="8"/>
  <c r="B29" i="8"/>
  <c r="F28" i="8"/>
  <c r="C28" i="8"/>
  <c r="E28" i="8"/>
  <c r="Z11" i="7"/>
  <c r="F30" i="8" s="1"/>
  <c r="Z12" i="7"/>
  <c r="F31" i="8" s="1"/>
  <c r="Z13" i="7"/>
  <c r="F32" i="8" s="1"/>
  <c r="Z14" i="7"/>
  <c r="F33" i="8" s="1"/>
  <c r="Z15" i="7"/>
  <c r="F34" i="8" s="1"/>
  <c r="Z16" i="7"/>
  <c r="Z17" i="7"/>
  <c r="F26" i="8"/>
  <c r="G26" i="8"/>
  <c r="D26" i="8"/>
  <c r="E26" i="8"/>
  <c r="D25" i="8"/>
  <c r="E25" i="8"/>
  <c r="F25" i="8"/>
  <c r="G25" i="8"/>
  <c r="D24" i="8"/>
  <c r="E24" i="8"/>
  <c r="F24" i="8"/>
  <c r="G24" i="8"/>
  <c r="D23" i="8"/>
  <c r="E23" i="8"/>
  <c r="F23" i="8"/>
  <c r="G23" i="8"/>
  <c r="D22" i="8"/>
  <c r="E22" i="8"/>
  <c r="F22" i="8"/>
  <c r="G22" i="8"/>
  <c r="C24" i="8"/>
  <c r="C26" i="8"/>
  <c r="C25" i="8"/>
  <c r="C23" i="8"/>
  <c r="C22" i="8"/>
  <c r="D21" i="8"/>
  <c r="E21" i="8"/>
  <c r="F21" i="8"/>
  <c r="G21" i="8"/>
  <c r="C21" i="8"/>
  <c r="C44" i="1"/>
  <c r="D44" i="1"/>
  <c r="E44" i="1"/>
  <c r="F44" i="1"/>
  <c r="G44" i="1"/>
  <c r="H44" i="1"/>
  <c r="I44" i="1"/>
  <c r="J44" i="1"/>
  <c r="K44" i="1"/>
  <c r="B44" i="1"/>
  <c r="C27" i="2"/>
  <c r="D27" i="2"/>
  <c r="E27" i="2"/>
  <c r="F27" i="2"/>
  <c r="G27" i="2"/>
  <c r="H27" i="2"/>
  <c r="I27" i="2"/>
  <c r="J27" i="2"/>
  <c r="K27" i="2"/>
  <c r="B27" i="2"/>
  <c r="C43" i="1"/>
  <c r="D43" i="1"/>
  <c r="E43" i="1"/>
  <c r="F43" i="1"/>
  <c r="G43" i="1"/>
  <c r="H43" i="1"/>
  <c r="I43" i="1"/>
  <c r="J43" i="1"/>
  <c r="K43" i="1"/>
  <c r="B43" i="1"/>
  <c r="C42" i="1"/>
  <c r="D42" i="1"/>
  <c r="E42" i="1"/>
  <c r="F42" i="1"/>
  <c r="G42" i="1"/>
  <c r="H42" i="1"/>
  <c r="I42" i="1"/>
  <c r="J42" i="1"/>
  <c r="K42" i="1"/>
  <c r="B42" i="1"/>
  <c r="F41" i="1"/>
  <c r="G41" i="1"/>
  <c r="H41" i="1"/>
  <c r="I41" i="1"/>
  <c r="J41" i="1"/>
  <c r="K41" i="1"/>
  <c r="C41" i="1"/>
  <c r="D41" i="1"/>
  <c r="E41" i="1"/>
  <c r="B41" i="1"/>
  <c r="C40" i="1"/>
  <c r="D40" i="1"/>
  <c r="E40" i="1"/>
  <c r="F40" i="1"/>
  <c r="G40" i="1"/>
  <c r="H40" i="1"/>
  <c r="I40" i="1"/>
  <c r="J40" i="1"/>
  <c r="K40" i="1"/>
  <c r="B40" i="1"/>
  <c r="C39" i="1"/>
  <c r="D39" i="1"/>
  <c r="E39" i="1"/>
  <c r="F39" i="1"/>
  <c r="G39" i="1"/>
  <c r="H39" i="1"/>
  <c r="I39" i="1"/>
  <c r="J39" i="1"/>
  <c r="K39" i="1"/>
  <c r="B39" i="1"/>
  <c r="C38" i="1"/>
  <c r="D38" i="1"/>
  <c r="E38" i="1"/>
  <c r="F38" i="1"/>
  <c r="G38" i="1"/>
  <c r="H38" i="1"/>
  <c r="I38" i="1"/>
  <c r="J38" i="1"/>
  <c r="K38" i="1"/>
  <c r="B38" i="1"/>
  <c r="B29" i="1"/>
  <c r="G29" i="1"/>
  <c r="D17" i="8" l="1"/>
  <c r="E17" i="8"/>
  <c r="F17" i="8"/>
  <c r="G17" i="8"/>
  <c r="C17" i="8"/>
  <c r="D16" i="8"/>
  <c r="E16" i="8"/>
  <c r="F16" i="8"/>
  <c r="G16" i="8"/>
  <c r="C16" i="8"/>
  <c r="D36" i="1"/>
  <c r="E36" i="1"/>
  <c r="F36" i="1"/>
  <c r="G36" i="1"/>
  <c r="H36" i="1"/>
  <c r="I36" i="1"/>
  <c r="J36" i="1"/>
  <c r="K36" i="1"/>
  <c r="C36" i="1"/>
  <c r="C35" i="1"/>
  <c r="D35" i="1"/>
  <c r="E35" i="1"/>
  <c r="F35" i="1"/>
  <c r="G35" i="1"/>
  <c r="H35" i="1"/>
  <c r="I35" i="1"/>
  <c r="J35" i="1"/>
  <c r="K35" i="1"/>
  <c r="B35" i="1"/>
  <c r="D15" i="8"/>
  <c r="E15" i="8"/>
  <c r="F15" i="8"/>
  <c r="G15" i="8"/>
  <c r="C15" i="8"/>
  <c r="D34" i="1"/>
  <c r="E34" i="1"/>
  <c r="F34" i="1"/>
  <c r="G34" i="1"/>
  <c r="H34" i="1"/>
  <c r="J34" i="1"/>
  <c r="K34" i="1"/>
  <c r="C34" i="1"/>
  <c r="D14" i="8"/>
  <c r="E14" i="8"/>
  <c r="F14" i="8"/>
  <c r="G14" i="8"/>
  <c r="C14" i="8"/>
  <c r="D13" i="8"/>
  <c r="E13" i="8"/>
  <c r="F13" i="8"/>
  <c r="G13" i="8"/>
  <c r="C13" i="8"/>
  <c r="C33" i="1"/>
  <c r="D33" i="1"/>
  <c r="E33" i="1"/>
  <c r="F33" i="1"/>
  <c r="G33" i="1"/>
  <c r="H33" i="1"/>
  <c r="I33" i="1"/>
  <c r="J33" i="1"/>
  <c r="K33" i="1"/>
  <c r="B33" i="1"/>
  <c r="D12" i="8"/>
  <c r="E12" i="8"/>
  <c r="F12" i="8"/>
  <c r="G12" i="8"/>
  <c r="C12" i="8"/>
  <c r="C32" i="1"/>
  <c r="D32" i="1"/>
  <c r="E32" i="1"/>
  <c r="F32" i="1"/>
  <c r="G32" i="1"/>
  <c r="H32" i="1"/>
  <c r="I32" i="1"/>
  <c r="J32" i="1"/>
  <c r="K32" i="1"/>
  <c r="B32" i="1"/>
  <c r="D11" i="8"/>
  <c r="E11" i="8"/>
  <c r="F11" i="8"/>
  <c r="G11" i="8"/>
  <c r="C11" i="8"/>
  <c r="D10" i="8"/>
  <c r="E10" i="8"/>
  <c r="F10" i="8"/>
  <c r="G10" i="8"/>
  <c r="D9" i="8"/>
  <c r="E9" i="8"/>
  <c r="F9" i="8"/>
  <c r="G9" i="8"/>
  <c r="C9" i="8"/>
  <c r="C31" i="1"/>
  <c r="D31" i="1"/>
  <c r="E31" i="1"/>
  <c r="F31" i="1"/>
  <c r="G31" i="1"/>
  <c r="H31" i="1"/>
  <c r="I31" i="1"/>
  <c r="J31" i="1"/>
  <c r="K31" i="1"/>
  <c r="B31" i="1"/>
  <c r="C30" i="1"/>
  <c r="D30" i="1"/>
  <c r="E30" i="1"/>
  <c r="F30" i="1"/>
  <c r="G30" i="1"/>
  <c r="C10" i="8" s="1"/>
  <c r="H30" i="1"/>
  <c r="I30" i="1"/>
  <c r="J30" i="1"/>
  <c r="K30" i="1"/>
  <c r="B30" i="1"/>
  <c r="C29" i="1"/>
  <c r="D29" i="1"/>
  <c r="E29" i="1"/>
  <c r="F29" i="1"/>
  <c r="H29" i="1"/>
  <c r="I29" i="1"/>
  <c r="J29" i="1"/>
  <c r="K29" i="1"/>
  <c r="D28" i="1"/>
  <c r="E28" i="1"/>
  <c r="F28" i="1"/>
  <c r="G28" i="1"/>
  <c r="H28" i="1"/>
  <c r="I28" i="1"/>
  <c r="J28" i="1"/>
  <c r="K28" i="1"/>
  <c r="C28" i="1"/>
  <c r="D8" i="8"/>
  <c r="E8" i="8"/>
  <c r="F8" i="8"/>
  <c r="G8" i="8"/>
  <c r="C8" i="8"/>
  <c r="D6" i="8"/>
  <c r="D19" i="8" s="1"/>
  <c r="E6" i="8"/>
  <c r="E19" i="8" s="1"/>
  <c r="F6" i="8"/>
  <c r="F19" i="8" s="1"/>
  <c r="G6" i="8"/>
  <c r="G19" i="8" s="1"/>
  <c r="C6" i="8"/>
  <c r="C19" i="8" s="1"/>
  <c r="C4" i="8"/>
  <c r="B2" i="8"/>
  <c r="C6" i="3"/>
  <c r="D6" i="3"/>
  <c r="E6" i="3"/>
  <c r="F6" i="3"/>
  <c r="G6" i="3"/>
  <c r="H6" i="3"/>
  <c r="I6" i="3"/>
  <c r="J6" i="3"/>
  <c r="K6" i="3"/>
  <c r="B6" i="3"/>
  <c r="C5" i="1"/>
  <c r="D5" i="1"/>
  <c r="E5" i="1"/>
  <c r="F5" i="1"/>
  <c r="G5" i="1"/>
  <c r="H5" i="1"/>
  <c r="I5" i="1"/>
  <c r="J5" i="1"/>
  <c r="K5" i="1"/>
  <c r="B5" i="1"/>
  <c r="B6" i="6"/>
  <c r="C17" i="2"/>
  <c r="D17" i="2"/>
  <c r="E17" i="2"/>
  <c r="F17" i="2"/>
  <c r="G17" i="2"/>
  <c r="H17" i="2"/>
  <c r="I17" i="2"/>
  <c r="J17" i="2"/>
  <c r="K17" i="2"/>
  <c r="C18" i="2"/>
  <c r="D18" i="2"/>
  <c r="D21" i="2" s="1"/>
  <c r="E18" i="2"/>
  <c r="F18" i="2"/>
  <c r="G18" i="2"/>
  <c r="H18" i="2"/>
  <c r="I18" i="2"/>
  <c r="J18" i="2"/>
  <c r="K18" i="2"/>
  <c r="B17" i="2"/>
  <c r="C4" i="2"/>
  <c r="D4" i="2"/>
  <c r="E4" i="2"/>
  <c r="E23" i="2" s="1"/>
  <c r="E5" i="2"/>
  <c r="F4" i="2"/>
  <c r="G4" i="2"/>
  <c r="H4" i="2"/>
  <c r="H23" i="2" s="1"/>
  <c r="I4" i="2"/>
  <c r="I5" i="2"/>
  <c r="J4" i="2"/>
  <c r="J5" i="2"/>
  <c r="J23" i="2" s="1"/>
  <c r="K4" i="2"/>
  <c r="C5" i="2"/>
  <c r="C23" i="2" s="1"/>
  <c r="D5" i="2"/>
  <c r="D23" i="2" s="1"/>
  <c r="F5" i="2"/>
  <c r="G5" i="2"/>
  <c r="H5" i="2"/>
  <c r="K5" i="2"/>
  <c r="C6" i="2"/>
  <c r="D6" i="2"/>
  <c r="E6" i="2"/>
  <c r="F6" i="2"/>
  <c r="G6" i="2"/>
  <c r="H6" i="2"/>
  <c r="I6" i="2"/>
  <c r="J6" i="2"/>
  <c r="K6" i="2"/>
  <c r="C7" i="2"/>
  <c r="D7" i="2"/>
  <c r="E7" i="2"/>
  <c r="F7" i="2"/>
  <c r="G7" i="2"/>
  <c r="H7" i="2"/>
  <c r="I7" i="2"/>
  <c r="I16" i="2" s="1"/>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D16" i="2" s="1"/>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G14" i="3" s="1"/>
  <c r="H4" i="3"/>
  <c r="I4" i="3"/>
  <c r="J4" i="3"/>
  <c r="K4" i="3"/>
  <c r="K14" i="3" s="1"/>
  <c r="C5" i="3"/>
  <c r="D5" i="3"/>
  <c r="E5" i="3"/>
  <c r="F5" i="3"/>
  <c r="G5" i="3"/>
  <c r="H5" i="3"/>
  <c r="I5" i="3"/>
  <c r="J5" i="3"/>
  <c r="K5" i="3"/>
  <c r="C7" i="3"/>
  <c r="D7" i="3"/>
  <c r="E7" i="3"/>
  <c r="F7" i="3"/>
  <c r="G7" i="3"/>
  <c r="H7" i="3"/>
  <c r="I7" i="3"/>
  <c r="J7" i="3"/>
  <c r="L7" i="1" s="1"/>
  <c r="K7" i="3"/>
  <c r="C8" i="3"/>
  <c r="D8" i="3"/>
  <c r="E8" i="3"/>
  <c r="F8" i="3"/>
  <c r="G8" i="3"/>
  <c r="H8" i="3"/>
  <c r="I8" i="3"/>
  <c r="L8" i="1" s="1"/>
  <c r="J8" i="3"/>
  <c r="K8" i="3"/>
  <c r="C9" i="3"/>
  <c r="D9" i="3"/>
  <c r="E9" i="3"/>
  <c r="F9" i="3"/>
  <c r="G9" i="3"/>
  <c r="H9" i="3"/>
  <c r="I9" i="3"/>
  <c r="J9" i="3"/>
  <c r="K9" i="3"/>
  <c r="C10" i="3"/>
  <c r="D10" i="3"/>
  <c r="E10" i="3"/>
  <c r="F10" i="3"/>
  <c r="G10" i="3"/>
  <c r="H10" i="3"/>
  <c r="I10" i="3"/>
  <c r="J10" i="3"/>
  <c r="K10" i="3"/>
  <c r="C11" i="3"/>
  <c r="D11" i="3"/>
  <c r="E11" i="3"/>
  <c r="F11" i="3"/>
  <c r="G11" i="3"/>
  <c r="H11" i="3"/>
  <c r="I11" i="3"/>
  <c r="L11" i="1" s="1"/>
  <c r="M11" i="1" s="1"/>
  <c r="J11" i="3"/>
  <c r="K11" i="3"/>
  <c r="C12" i="3"/>
  <c r="D12" i="3"/>
  <c r="E12" i="3"/>
  <c r="F12" i="3"/>
  <c r="G12" i="3"/>
  <c r="H12" i="3"/>
  <c r="L12" i="1" s="1"/>
  <c r="L13" i="1" s="1"/>
  <c r="L14" i="1" s="1"/>
  <c r="L25" i="1" s="1"/>
  <c r="I12" i="3"/>
  <c r="J12" i="3"/>
  <c r="K12" i="3"/>
  <c r="B5" i="3"/>
  <c r="C18" i="1"/>
  <c r="D18" i="1"/>
  <c r="E18" i="1"/>
  <c r="F18" i="1"/>
  <c r="G18" i="1"/>
  <c r="H18" i="1"/>
  <c r="I18" i="1"/>
  <c r="J18" i="1"/>
  <c r="K18" i="1"/>
  <c r="B18" i="1"/>
  <c r="C4" i="1"/>
  <c r="C6" i="1" s="1"/>
  <c r="C19" i="1" s="1"/>
  <c r="D4" i="1"/>
  <c r="D6" i="1" s="1"/>
  <c r="D19" i="1" s="1"/>
  <c r="E4" i="1"/>
  <c r="F4" i="1"/>
  <c r="F20" i="2" s="1"/>
  <c r="G4" i="1"/>
  <c r="H4" i="1"/>
  <c r="I4" i="1"/>
  <c r="I21" i="2" s="1"/>
  <c r="J4" i="1"/>
  <c r="K4" i="1"/>
  <c r="K20" i="2" s="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C14" i="1" s="1"/>
  <c r="D12" i="1"/>
  <c r="E12" i="1"/>
  <c r="F12" i="1"/>
  <c r="F13" i="1" s="1"/>
  <c r="G12" i="1"/>
  <c r="G13" i="1" s="1"/>
  <c r="G14" i="1" s="1"/>
  <c r="H12" i="1"/>
  <c r="I12" i="1"/>
  <c r="J12" i="1"/>
  <c r="J13" i="1" s="1"/>
  <c r="K12" i="1"/>
  <c r="K13" i="1" s="1"/>
  <c r="C15" i="1"/>
  <c r="D15" i="1"/>
  <c r="E15" i="1"/>
  <c r="F15" i="1"/>
  <c r="F14" i="1" s="1"/>
  <c r="G15" i="1"/>
  <c r="H15" i="1"/>
  <c r="I15" i="1"/>
  <c r="I14" i="1" s="1"/>
  <c r="J15" i="1"/>
  <c r="J14" i="1" s="1"/>
  <c r="K15" i="1"/>
  <c r="B15" i="1"/>
  <c r="H13" i="1"/>
  <c r="I13" i="1"/>
  <c r="B7" i="1"/>
  <c r="B4" i="1"/>
  <c r="B20" i="2" s="1"/>
  <c r="A1" i="1"/>
  <c r="E1" i="6"/>
  <c r="H1" i="1" s="1"/>
  <c r="E1" i="3"/>
  <c r="H16" i="2"/>
  <c r="F23" i="2"/>
  <c r="K16" i="2"/>
  <c r="C16" i="2"/>
  <c r="G23" i="2"/>
  <c r="F16" i="2"/>
  <c r="E6" i="1"/>
  <c r="E19" i="1"/>
  <c r="J6" i="1"/>
  <c r="J19" i="1"/>
  <c r="G6" i="1"/>
  <c r="G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H21" i="2"/>
  <c r="G21" i="2"/>
  <c r="F21" i="2"/>
  <c r="E21" i="2"/>
  <c r="C21" i="2"/>
  <c r="B18" i="2"/>
  <c r="B21" i="2" s="1"/>
  <c r="B13" i="2"/>
  <c r="B12" i="2"/>
  <c r="B11" i="2"/>
  <c r="B10" i="2"/>
  <c r="B8" i="2"/>
  <c r="B7" i="2"/>
  <c r="B6" i="2"/>
  <c r="B3" i="2"/>
  <c r="J14" i="3"/>
  <c r="H14" i="3"/>
  <c r="F14" i="3"/>
  <c r="B12" i="3"/>
  <c r="B11" i="3"/>
  <c r="B10" i="3"/>
  <c r="B9" i="3"/>
  <c r="B8" i="3"/>
  <c r="B7" i="3"/>
  <c r="B4" i="3"/>
  <c r="B14" i="3" s="1"/>
  <c r="B3" i="3"/>
  <c r="L15" i="1"/>
  <c r="B12" i="1"/>
  <c r="B13" i="1" s="1"/>
  <c r="B11" i="1"/>
  <c r="B10" i="1"/>
  <c r="B9" i="1"/>
  <c r="B8" i="1"/>
  <c r="B3" i="1"/>
  <c r="E14" i="3"/>
  <c r="I14" i="3"/>
  <c r="G20" i="2"/>
  <c r="J20" i="2"/>
  <c r="E20" i="2"/>
  <c r="L10" i="1"/>
  <c r="L6" i="1"/>
  <c r="L4" i="1"/>
  <c r="L23" i="1" s="1"/>
  <c r="A1" i="3"/>
  <c r="A1" i="2"/>
  <c r="A1" i="4"/>
  <c r="I23" i="1"/>
  <c r="L5" i="1"/>
  <c r="K14" i="1" l="1"/>
  <c r="N11" i="1"/>
  <c r="B16" i="2"/>
  <c r="J16" i="2"/>
  <c r="G16" i="2"/>
  <c r="E24" i="2"/>
  <c r="C20" i="2"/>
  <c r="E14" i="1"/>
  <c r="I25" i="1" s="1"/>
  <c r="J24" i="2"/>
  <c r="D24" i="2"/>
  <c r="I24" i="2"/>
  <c r="K23" i="2"/>
  <c r="K25" i="1"/>
  <c r="M25" i="1" s="1"/>
  <c r="M14" i="1" s="1"/>
  <c r="C24" i="2"/>
  <c r="H24" i="2"/>
  <c r="J23" i="1"/>
  <c r="L19" i="1"/>
  <c r="L24" i="1" s="1"/>
  <c r="K6" i="1"/>
  <c r="K19" i="1" s="1"/>
  <c r="B23" i="2"/>
  <c r="H14" i="1"/>
  <c r="G24" i="2"/>
  <c r="D13" i="1"/>
  <c r="E13" i="1" s="1"/>
  <c r="B6" i="1"/>
  <c r="B19" i="1" s="1"/>
  <c r="K24" i="1"/>
  <c r="M24" i="1" s="1"/>
  <c r="L9" i="1"/>
  <c r="E16" i="2"/>
  <c r="H23" i="1"/>
  <c r="D20" i="2"/>
  <c r="B14" i="1"/>
  <c r="I24" i="1"/>
  <c r="K24" i="2"/>
  <c r="H24" i="1"/>
  <c r="I6" i="1"/>
  <c r="I19" i="1" s="1"/>
  <c r="E1" i="2"/>
  <c r="I23" i="2"/>
  <c r="F24" i="2"/>
  <c r="J25" i="1"/>
  <c r="M9" i="1"/>
  <c r="N9" i="1"/>
  <c r="N8" i="1"/>
  <c r="M8" i="1"/>
  <c r="N23" i="1"/>
  <c r="N4" i="1" s="1"/>
  <c r="I20" i="2"/>
  <c r="J24" i="1"/>
  <c r="N24" i="1" s="1"/>
  <c r="H20" i="2"/>
  <c r="K23" i="1"/>
  <c r="M23" i="1" s="1"/>
  <c r="M4" i="1" s="1"/>
  <c r="H6" i="1"/>
  <c r="H19" i="1" s="1"/>
  <c r="F6" i="1"/>
  <c r="F19" i="1" s="1"/>
  <c r="E1" i="4"/>
  <c r="D14" i="1" l="1"/>
  <c r="H25" i="1" s="1"/>
  <c r="N25" i="1" s="1"/>
  <c r="N14" i="1" s="1"/>
  <c r="N15" i="1" s="1"/>
  <c r="N6" i="1"/>
  <c r="N10" i="1" s="1"/>
  <c r="N12" i="1" s="1"/>
  <c r="N13" i="1" s="1"/>
  <c r="N5" i="1"/>
  <c r="M6" i="1"/>
  <c r="M10" i="1" s="1"/>
  <c r="M12" i="1" s="1"/>
  <c r="M13" i="1" s="1"/>
  <c r="M15" i="1" s="1"/>
  <c r="M5" i="1" l="1"/>
</calcChain>
</file>

<file path=xl/sharedStrings.xml><?xml version="1.0" encoding="utf-8"?>
<sst xmlns="http://schemas.openxmlformats.org/spreadsheetml/2006/main" count="257" uniqueCount="199">
  <si>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</si>
  <si>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</si>
  <si>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</si>
  <si>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</si>
  <si>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</si>
  <si>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</si>
  <si>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</si>
  <si>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</si>
  <si>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</si>
  <si>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</si>
  <si>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</si>
  <si>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</si>
  <si>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</si>
  <si>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</si>
  <si>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</si>
  <si>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</si>
  <si>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</si>
  <si>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</si>
  <si>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</si>
  <si>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</si>
  <si>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</si>
  <si>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</si>
  <si>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</si>
  <si>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</si>
  <si>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</si>
  <si>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</si>
  <si>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</si>
  <si>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</si>
  <si>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</si>
  <si>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</si>
  <si>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</si>
  <si>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</si>
  <si>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</si>
  <si>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</si>
  <si>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</si>
  <si>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</si>
  <si>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</si>
  <si>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</si>
  <si>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</si>
  <si>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</si>
  <si>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</si>
  <si>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</si>
  <si>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</si>
  <si>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</si>
  <si>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</si>
  <si>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</si>
  <si>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</si>
  <si>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</si>
  <si>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</si>
  <si>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</si>
  <si>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</si>
  <si>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</si>
  <si>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</si>
  <si>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</si>
  <si>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</si>
  <si>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</si>
  <si>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</si>
  <si>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</si>
  <si>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</si>
  <si>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</si>
  <si>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</si>
  <si>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</si>
  <si>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</si>
  <si>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MARUTI SUZUKI INDIA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</si>
  <si>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</si>
  <si>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</si>
  <si>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</si>
  <si>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</si>
  <si>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</si>
  <si>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</si>
  <si>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</si>
  <si>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</si>
  <si>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</si>
  <si>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</si>
  <si>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</si>
  <si>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</si>
  <si>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</si>
  <si>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</si>
  <si>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</si>
  <si>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</si>
  <si>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</si>
  <si>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</si>
  <si>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</si>
  <si>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</si>
  <si>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</si>
  <si>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</si>
  <si>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</si>
  <si>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</si>
  <si>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</si>
  <si>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</si>
  <si>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</si>
  <si>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</si>
  <si>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</si>
  <si>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Maruti Suzuki India Limited is the Indian subsidiary of Japanese automaker Suzuki Motor Corporation. It is the largest automobile manufacturer in India, specialising in small cars. The company was established by the Government of India as Maruti Udyog Limited in February 1981 as a joint venture with Suzuki, the latter becoming the first Japanese automaker, as well as the first major foreign automaker, to invest in India</t>
  </si>
  <si>
    <t>Total Sales</t>
  </si>
  <si>
    <t>Sales Growth (y-o-y)</t>
  </si>
  <si>
    <t>Gross Profit Margin</t>
  </si>
  <si>
    <t>EBITDA Margins</t>
  </si>
  <si>
    <t>Gross Profit Margins (%)</t>
  </si>
  <si>
    <t>EBITDA Margins (%)</t>
  </si>
  <si>
    <t>EBIT Margins (%)</t>
  </si>
  <si>
    <t>Gross Profit</t>
  </si>
  <si>
    <t>EBIT Margins</t>
  </si>
  <si>
    <t>Net Profit Margins</t>
  </si>
  <si>
    <t>Net Profit Margins (%)</t>
  </si>
  <si>
    <t>Earning Per Share (In Rs)</t>
  </si>
  <si>
    <t>EPS Growth (y-o-y)</t>
  </si>
  <si>
    <t>EPS Growth</t>
  </si>
  <si>
    <t>Dividend Per Share</t>
  </si>
  <si>
    <t>Dividend Growth</t>
  </si>
  <si>
    <t>DPS Growth (y-o-y)</t>
  </si>
  <si>
    <t>Date</t>
  </si>
  <si>
    <t xml:space="preserve">Adj Close </t>
  </si>
  <si>
    <t>Volume</t>
  </si>
  <si>
    <t>Share Price - 5Y</t>
  </si>
  <si>
    <t>market capitalization</t>
  </si>
  <si>
    <t>Debt</t>
  </si>
  <si>
    <t>cash</t>
  </si>
  <si>
    <t>EV</t>
  </si>
  <si>
    <t>EV/EBITDA</t>
  </si>
  <si>
    <t>EV/Sales</t>
  </si>
  <si>
    <t>Book value</t>
  </si>
  <si>
    <t>p/b</t>
  </si>
  <si>
    <t>Key Financial Ratio</t>
  </si>
  <si>
    <t>Price to Earnings</t>
  </si>
  <si>
    <t>Return on Equity (%)</t>
  </si>
  <si>
    <t>Return on Capital Employed (%)</t>
  </si>
  <si>
    <t>Volume - 5Y</t>
  </si>
  <si>
    <t>Shareholder's name</t>
  </si>
  <si>
    <t>Top 10 Shareholders</t>
  </si>
  <si>
    <t xml:space="preserve"> (%) holding</t>
  </si>
  <si>
    <t>N. Shares (in Crs)</t>
  </si>
  <si>
    <t>Market Value (in Crs.)</t>
  </si>
  <si>
    <t>Suzuki Motor Corporation</t>
  </si>
  <si>
    <t>Kotak Balanced Advantage Fund</t>
  </si>
  <si>
    <t>Investor Education And Protection Fund (IEPF)</t>
  </si>
  <si>
    <t>LICI ULIP-Growth Fund</t>
  </si>
  <si>
    <t>SBI ESG Exclusionary Strategy Fund</t>
  </si>
  <si>
    <t>HDFC Trustee Company Ltd-Flexi Fund</t>
  </si>
  <si>
    <t>ICICI N50 Equal Weight Index Fund</t>
  </si>
  <si>
    <t>NPS UTI Pension Fund Ltd-Scheme Cent</t>
  </si>
  <si>
    <t>UTI Manufacturing Index Fund</t>
  </si>
  <si>
    <t>Promoters</t>
  </si>
  <si>
    <t>FIIs</t>
  </si>
  <si>
    <t>DIIs</t>
  </si>
  <si>
    <t>Public &amp; Govt</t>
  </si>
  <si>
    <t>Shareholding Pattern</t>
  </si>
  <si>
    <t>Capital Structure</t>
  </si>
  <si>
    <t xml:space="preserve">Share Price as on </t>
  </si>
  <si>
    <t>No. of Share Outstanding</t>
  </si>
  <si>
    <t>Less: Cash &amp; Equivalents</t>
  </si>
  <si>
    <t>Add: Total Debt</t>
  </si>
  <si>
    <t>Add: Minority Interest</t>
  </si>
  <si>
    <t>Enterprise Value</t>
  </si>
  <si>
    <t>1 Mr. Hisashi Takeuchi, Managing Director &amp; CEO</t>
  </si>
  <si>
    <t xml:space="preserve">2 Mr. Kenichiro Toyofuku, Director (Sustainability) </t>
  </si>
  <si>
    <t xml:space="preserve">3 Mr. Kazunari Yamaguchi, Director (Production)  </t>
  </si>
  <si>
    <t xml:space="preserve">4 Mr. Sanjeev Grover, Company Secretary </t>
  </si>
  <si>
    <t xml:space="preserve">5 Mr. Arnab Roy, Chief Financial Officer  </t>
  </si>
  <si>
    <t>NA</t>
  </si>
  <si>
    <t>Managerial Remuneration</t>
  </si>
  <si>
    <t>Designation</t>
  </si>
  <si>
    <t>Remuneration</t>
  </si>
  <si>
    <t>X of Median Salary</t>
  </si>
  <si>
    <t>MD &amp; CEO</t>
  </si>
  <si>
    <t>Director (Sus)</t>
  </si>
  <si>
    <t>Director (Prod)</t>
  </si>
  <si>
    <t>Mr. Hisashi Takeuchi</t>
  </si>
  <si>
    <t xml:space="preserve">Mr. Kenichiro Toyofuku </t>
  </si>
  <si>
    <t xml:space="preserve">Mr. Kazunari Yamaguchi  </t>
  </si>
  <si>
    <t>1. Mr. R. C. Bhargava - - 1,000,000 15,500,000 16,500,000</t>
  </si>
  <si>
    <t>2. Mr. Hisashi Takeuchi 37,046,900 19,854,917 - - 56,901,817</t>
  </si>
  <si>
    <t>3. Mr. Kenichiro Toyofuku 27,885,600 14,314,000 - - 42,199,600</t>
  </si>
  <si>
    <t>4. Mr. Osamu Suzuki - - 200,000 - 200,000</t>
  </si>
  <si>
    <t>5. Mr. Toshihiro Suzuki - - 500,000 - 500,000</t>
  </si>
  <si>
    <t>6. Mr. Kinji Saito - - 500,000 - 500,000</t>
  </si>
  <si>
    <t>7. Mr. Kenichi Ayukawa - - 500,000 - 500,000</t>
  </si>
  <si>
    <t>8. Mr. Davinder Singh Brar - - 600,000 3,700,000 4,300,000</t>
  </si>
  <si>
    <t>9. Mr. Rajinder Pal Singh - - 600,000 3,500,000 4,100,000</t>
  </si>
  <si>
    <t>10. Mr. Maheswar Sahu - - 1,500,000 8,800,000 10,300,000</t>
  </si>
  <si>
    <t>11. Ms. Lira Goswami - - 1,450,000 8,500,000 9,950,000</t>
  </si>
  <si>
    <t>12. Mr. Kazunari Yamaguchi 27,885,600 14,314,000 - - 42,199,600</t>
  </si>
  <si>
    <t>13. Ms. Ireena Vittal - - 800,000 5,000,000 5,800,000</t>
  </si>
  <si>
    <t>14. Ms. Anjali Bansal - - 850,000 5,000,000 5,850,000</t>
  </si>
  <si>
    <t>Maruti Suzuki added a record 502 service touchpoints in FY 2025–26, marking its highest-ever network expansion in a single year.</t>
  </si>
  <si>
    <t>The eVitara was recently launched as Maruti’s first official electric vehicle.</t>
  </si>
  <si>
    <t>A new, massive manufacturing plant in Gujarat is planned, adding a capacity of up to 1 million vehicles annually to meet rising SUV demand.</t>
  </si>
  <si>
    <t>The Brezza facelift is expected to arrive around the 2026 festive season, featuring a larger screen and ventilated seats.</t>
  </si>
  <si>
    <t xml:space="preserve"> Achieved record high exports (over 4.47 lakh vehicles) in FY 2025-26 and launched new service initiatives like 'Quickstop'.</t>
  </si>
  <si>
    <t>Maruti Suzuki recently reported a record 34% surge in exports for FY 2025-26, reaching 4.47 lakh vehicles, while the Dzire topped March 2026 sales.</t>
  </si>
  <si>
    <t>As of May 12, 2025, all Maruti Suzuki Arena models come equipped with 6 airbags as standard.</t>
  </si>
  <si>
    <t>A service campaign for 144 units (manufactured Aug 2024) to inspect incorrect serial number markings on the muffler</t>
  </si>
  <si>
    <t>Axis Bluechip Fund                                   28.10                 0.89%</t>
  </si>
  <si>
    <t xml:space="preserve">Nippon India Large Cap Fund                                         </t>
  </si>
  <si>
    <t xml:space="preserve">Axis Bluechip Fund </t>
  </si>
  <si>
    <t>Key Financial Metrics</t>
  </si>
  <si>
    <t xml:space="preserve">Price to Book Value </t>
  </si>
  <si>
    <t>Recent Update</t>
  </si>
  <si>
    <t>INR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</si>
</sst>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 #,##0.00_ ;_ * \-#,##0.00_ ;_ * &quot;-&quot;??_ ;_ @_ "/>
    <numFmt numFmtId="165" formatCode="[$-409]mmm\-yy;@"/>
    <numFmt numFmtId="166" formatCode="dd\-mm\-yyyy"/>
    <numFmt numFmtId="167" formatCode="#,##0.0"/>
    <numFmt numFmtId="168" formatCode="0.00&quot;x&quot;"/>
  </numFmts>
  <fonts count="1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2"/>
      <color theme="0"/>
      <name val="Calibri"/>
      <family val="2"/>
      <scheme val="minor"/>
    </font>
    <font>
      <b/>
      <sz val="14"/>
      <color theme="0"/>
      <name val="Calibri"/>
      <family val="2"/>
      <scheme val="minor"/>
    </font>
    <font>
      <i/>
      <sz val="11"/>
      <color theme="1"/>
      <name val="Calibri"/>
      <family val="2"/>
      <scheme val="minor"/>
    </font>
    <font>
      <sz val="11"/>
      <color rgb="FF000000"/>
      <name val="Calibri"/>
      <family val="2"/>
      <scheme val="minor"/>
    </font>
  </fonts>
  <fills count="8">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bgColor indexed="64"/>
      </patternFill>
    </fill>
  </fills>
  <borders count="6">
    <border>
      <left/>
      <right/>
      <top/>
      <bottom/>
      <diagonal/>
    </border>
    <border>
      <left/>
      <right/>
      <top/>
      <bottom style="hair">
        <color theme="0" tint="-0.34998626667073579"/>
      </bottom>
      <diagonal/>
    </border>
    <border>
      <left/>
      <right/>
      <top style="hair">
        <color rgb="FF002060"/>
      </top>
      <bottom style="hair">
        <color rgb="FF002060"/>
      </bottom>
      <diagonal/>
    </border>
    <border>
      <left/>
      <right/>
      <top style="thin">
        <color rgb="FF002060"/>
      </top>
      <bottom style="medium">
        <color rgb="FF002060"/>
      </bottom>
      <diagonal/>
    </border>
    <border>
      <left/>
      <right/>
      <top style="hair">
        <color rgb="FF002060"/>
      </top>
      <bottom/>
      <diagonal/>
    </border>
    <border>
      <left/>
      <right/>
      <top/>
      <bottom style="hair">
        <color rgb="FF002060"/>
      </bottom>
      <diagonal/>
    </border>
  </borders>
  <cellStyleXfs count="7">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79">
    <xf numFmtId="0" fontId="0" fillId="0" borderId="0" xfId="0"/>
    <xf numFmtId="164" fontId="1" fillId="0" borderId="0" xfId="1" applyFont="1" applyBorder="1"/>
    <xf numFmtId="0" fontId="1" fillId="0" borderId="0" xfId="0" applyFont="1"/>
    <xf numFmtId="0" fontId="8" fillId="0" borderId="0" xfId="0" applyFont="1"/>
    <xf numFmtId="164" fontId="0" fillId="0" borderId="0" xfId="1" applyFont="1" applyBorder="1"/>
    <xf numFmtId="10" fontId="0" fillId="0" borderId="0" xfId="0" applyNumberFormat="1"/>
    <xf numFmtId="164" fontId="3" fillId="0" borderId="0" xfId="1" applyFont="1" applyBorder="1"/>
    <xf numFmtId="9" fontId="3" fillId="0" borderId="0" xfId="1" applyNumberFormat="1" applyFont="1" applyBorder="1"/>
    <xf numFmtId="164" fontId="2" fillId="2" borderId="0" xfId="3" applyNumberFormat="1" applyFont="1" applyBorder="1"/>
    <xf numFmtId="164"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164" fontId="0" fillId="0" borderId="0" xfId="1" applyFont="1" applyBorder="1" applyAlignment="1">
      <alignment horizontal="center"/>
    </xf>
    <xf numFmtId="164"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9" fillId="0" borderId="0" xfId="1" applyNumberFormat="1" applyFont="1" applyFill="1" applyBorder="1"/>
    <xf numFmtId="0" fontId="7" fillId="0" borderId="0" xfId="0" applyFont="1"/>
    <xf numFmtId="0" fontId="0" fillId="0" borderId="0" xfId="0"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9" fillId="0" borderId="0" xfId="0" applyFont="1"/>
    <xf numFmtId="43" fontId="0" fillId="0" borderId="0" xfId="1" applyNumberFormat="1" applyFont="1" applyBorder="1"/>
    <xf numFmtId="0" fontId="0" fillId="0" borderId="0" xfId="0" applyAlignment="1">
      <alignment wrapText="1"/>
    </xf>
    <xf numFmtId="0" fontId="0" fillId="0" borderId="1" xfId="0" applyBorder="1"/>
    <xf numFmtId="0" fontId="10" fillId="6" borderId="0" xfId="0" applyFont="1" applyFill="1"/>
    <xf numFmtId="43" fontId="0" fillId="0" borderId="0" xfId="0" applyNumberFormat="1"/>
    <xf numFmtId="10" fontId="0" fillId="0" borderId="0" xfId="6" applyNumberFormat="1" applyFont="1"/>
    <xf numFmtId="164" fontId="3" fillId="0" borderId="0" xfId="1" applyFont="1" applyFill="1" applyBorder="1"/>
    <xf numFmtId="2" fontId="0" fillId="0" borderId="0" xfId="0" applyNumberFormat="1"/>
    <xf numFmtId="0" fontId="1" fillId="0" borderId="0" xfId="0" applyFont="1" applyAlignment="1">
      <alignment horizontal="center" vertical="center"/>
    </xf>
    <xf numFmtId="166" fontId="0" fillId="0" borderId="0" xfId="0" applyNumberFormat="1" applyAlignment="1">
      <alignment vertical="center"/>
    </xf>
    <xf numFmtId="0" fontId="10" fillId="6" borderId="0" xfId="0" applyFont="1" applyFill="1" applyAlignment="1">
      <alignment horizontal="center"/>
    </xf>
    <xf numFmtId="167" fontId="0" fillId="0" borderId="0" xfId="0" applyNumberFormat="1"/>
    <xf numFmtId="167" fontId="1" fillId="0" borderId="0" xfId="0" applyNumberFormat="1" applyFont="1" applyAlignment="1">
      <alignment horizontal="center" vertical="center"/>
    </xf>
    <xf numFmtId="167" fontId="0" fillId="0" borderId="0" xfId="0" applyNumberFormat="1" applyAlignment="1">
      <alignment vertical="center"/>
    </xf>
    <xf numFmtId="0" fontId="0" fillId="7" borderId="0" xfId="0" applyFill="1"/>
    <xf numFmtId="17" fontId="10" fillId="6" borderId="0" xfId="0" applyNumberFormat="1" applyFont="1" applyFill="1"/>
    <xf numFmtId="0" fontId="13" fillId="0" borderId="0" xfId="0" applyFont="1" applyAlignment="1">
      <alignment vertical="center"/>
    </xf>
    <xf numFmtId="0" fontId="0" fillId="0" borderId="0" xfId="0" applyAlignment="1">
      <alignment horizontal="left" indent="1"/>
    </xf>
    <xf numFmtId="0" fontId="0" fillId="0" borderId="2" xfId="0" applyBorder="1"/>
    <xf numFmtId="0" fontId="12" fillId="0" borderId="2" xfId="0" applyFont="1" applyBorder="1"/>
    <xf numFmtId="10" fontId="12" fillId="0" borderId="2" xfId="0" applyNumberFormat="1" applyFont="1" applyBorder="1"/>
    <xf numFmtId="10" fontId="0" fillId="0" borderId="2" xfId="0" applyNumberFormat="1" applyBorder="1"/>
    <xf numFmtId="2" fontId="0" fillId="0" borderId="2" xfId="0" applyNumberFormat="1" applyBorder="1"/>
    <xf numFmtId="43" fontId="0" fillId="0" borderId="2" xfId="0" applyNumberFormat="1" applyBorder="1"/>
    <xf numFmtId="168" fontId="0" fillId="0" borderId="2" xfId="0" applyNumberFormat="1" applyBorder="1"/>
    <xf numFmtId="10" fontId="0" fillId="0" borderId="2" xfId="0" applyNumberFormat="1" applyBorder="1" applyAlignment="1">
      <alignment horizontal="right"/>
    </xf>
    <xf numFmtId="0" fontId="0" fillId="6" borderId="0" xfId="0" applyFill="1"/>
    <xf numFmtId="0" fontId="5" fillId="6" borderId="0" xfId="0" applyFont="1" applyFill="1"/>
    <xf numFmtId="0" fontId="2" fillId="6" borderId="0" xfId="0" applyFont="1" applyFill="1"/>
    <xf numFmtId="3" fontId="0" fillId="0" borderId="2" xfId="0" applyNumberFormat="1" applyBorder="1"/>
    <xf numFmtId="167" fontId="0" fillId="0" borderId="2" xfId="0" applyNumberFormat="1" applyBorder="1"/>
    <xf numFmtId="0" fontId="0" fillId="0" borderId="2" xfId="0" applyBorder="1" applyAlignment="1">
      <alignment horizontal="left" indent="1"/>
    </xf>
    <xf numFmtId="0" fontId="1" fillId="0" borderId="3" xfId="0" applyFont="1" applyBorder="1" applyAlignment="1">
      <alignment horizontal="left" indent="1"/>
    </xf>
    <xf numFmtId="0" fontId="0" fillId="0" borderId="3" xfId="0" applyBorder="1"/>
    <xf numFmtId="167" fontId="1" fillId="0" borderId="3" xfId="0" applyNumberFormat="1" applyFont="1" applyBorder="1"/>
    <xf numFmtId="0" fontId="0" fillId="0" borderId="4" xfId="0" applyBorder="1"/>
    <xf numFmtId="167" fontId="0" fillId="0" borderId="4" xfId="0" applyNumberFormat="1" applyBorder="1"/>
    <xf numFmtId="0" fontId="0" fillId="0" borderId="5" xfId="0" applyBorder="1" applyAlignment="1">
      <alignment horizontal="left" indent="1"/>
    </xf>
    <xf numFmtId="0" fontId="0" fillId="0" borderId="5" xfId="0" applyBorder="1"/>
    <xf numFmtId="167" fontId="0" fillId="0" borderId="5" xfId="0" applyNumberFormat="1" applyBorder="1"/>
    <xf numFmtId="0" fontId="1" fillId="0" borderId="3" xfId="0" applyFont="1" applyBorder="1"/>
    <xf numFmtId="0" fontId="0" fillId="6" borderId="0" xfId="0" applyFill="1" applyAlignment="1">
      <alignment horizontal="left" indent="1"/>
    </xf>
    <xf numFmtId="0" fontId="0" fillId="0" borderId="0" xfId="0" applyAlignment="1">
      <alignment horizontal="center"/>
    </xf>
    <xf numFmtId="0" fontId="0" fillId="0" borderId="0" xfId="0" applyAlignment="1">
      <alignment horizontal="left"/>
    </xf>
    <xf numFmtId="0" fontId="11" fillId="6" borderId="0" xfId="0" applyFont="1" applyFill="1" applyAlignment="1">
      <alignment horizontal="center"/>
    </xf>
    <xf numFmtId="0" fontId="0" fillId="0" borderId="1" xfId="0" applyBorder="1" applyAlignment="1">
      <alignment horizontal="left" vertical="top" wrapText="1"/>
    </xf>
    <xf numFmtId="0" fontId="10" fillId="6" borderId="0" xfId="0" applyFont="1" applyFill="1" applyAlignment="1">
      <alignment horizontal="center"/>
    </xf>
    <xf numFmtId="167" fontId="0" fillId="0" borderId="2" xfId="0" applyNumberFormat="1" applyBorder="1" applyAlignment="1">
      <alignment horizontal="right"/>
    </xf>
    <xf numFmtId="0" fontId="2" fillId="6" borderId="0" xfId="0" applyFont="1" applyFill="1" applyAlignment="1">
      <alignment horizontal="center"/>
    </xf>
    <xf numFmtId="0" fontId="5" fillId="6" borderId="0" xfId="0" applyFont="1" applyFill="1" applyAlignment="1">
      <alignment horizontal="center"/>
    </xf>
    <xf numFmtId="0" fontId="0" fillId="0" borderId="2" xfId="0" applyBorder="1" applyAlignment="1">
      <alignment horizontal="center"/>
    </xf>
    <xf numFmtId="168" fontId="0" fillId="0" borderId="2" xfId="0" applyNumberFormat="1" applyBorder="1" applyAlignment="1">
      <alignment horizontal="right"/>
    </xf>
    <xf numFmtId="164" fontId="4" fillId="0" borderId="0" xfId="2" applyNumberFormat="1" applyBorder="1" applyAlignment="1" applyProtection="1">
      <alignment horizontal="center"/>
    </xf>
    <xf numFmtId="164" fontId="2" fillId="4" borderId="0" xfId="5" applyNumberFormat="1" applyFont="1" applyBorder="1" applyAlignment="1">
      <alignment horizontal="center"/>
    </xf>
    <xf numFmtId="0" fontId="12" fillId="0" borderId="0" xfId="0"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9783798211664"/>
          <c:y val="9.7517662424148083E-2"/>
          <c:w val="0.66076871746963828"/>
          <c:h val="0.64433905432299221"/>
        </c:manualLayout>
      </c:layout>
      <c:lineChart>
        <c:grouping val="standard"/>
        <c:varyColors val="0"/>
        <c:ser>
          <c:idx val="0"/>
          <c:order val="0"/>
          <c:tx>
            <c:strRef>
              <c:f>Input!$D$10</c:f>
              <c:strCache>
                <c:ptCount val="1"/>
                <c:pt idx="0">
                  <c:v>Adj Close </c:v>
                </c:pt>
              </c:strCache>
            </c:strRef>
          </c:tx>
          <c:spPr>
            <a:ln w="28575" cap="rnd">
              <a:solidFill>
                <a:srgbClr val="002060"/>
              </a:solidFill>
              <a:round/>
            </a:ln>
            <a:effectLst/>
          </c:spPr>
          <c:marker>
            <c:symbol val="none"/>
          </c:marker>
          <c:cat>
            <c:numRef>
              <c:f>Input!$C$11:$C$1225</c:f>
              <c:numCache>
                <c:formatCode>dd\-mm\-yyyy</c:formatCode>
                <c:ptCount val="1215"/>
                <c:pt idx="0">
                  <c:v>46114</c:v>
                </c:pt>
                <c:pt idx="1">
                  <c:v>46113</c:v>
                </c:pt>
                <c:pt idx="2">
                  <c:v>46111</c:v>
                </c:pt>
                <c:pt idx="3">
                  <c:v>46108</c:v>
                </c:pt>
                <c:pt idx="4">
                  <c:v>46106</c:v>
                </c:pt>
                <c:pt idx="5">
                  <c:v>46105</c:v>
                </c:pt>
                <c:pt idx="6">
                  <c:v>46104</c:v>
                </c:pt>
                <c:pt idx="7">
                  <c:v>46100</c:v>
                </c:pt>
                <c:pt idx="8">
                  <c:v>46099</c:v>
                </c:pt>
                <c:pt idx="9">
                  <c:v>46101</c:v>
                </c:pt>
                <c:pt idx="12">
                  <c:v>46098</c:v>
                </c:pt>
                <c:pt idx="13">
                  <c:v>46097</c:v>
                </c:pt>
                <c:pt idx="14">
                  <c:v>46094</c:v>
                </c:pt>
                <c:pt idx="15">
                  <c:v>46093</c:v>
                </c:pt>
                <c:pt idx="16">
                  <c:v>46091</c:v>
                </c:pt>
                <c:pt idx="17">
                  <c:v>46090</c:v>
                </c:pt>
                <c:pt idx="18">
                  <c:v>46087</c:v>
                </c:pt>
                <c:pt idx="19">
                  <c:v>46086</c:v>
                </c:pt>
                <c:pt idx="20">
                  <c:v>46085</c:v>
                </c:pt>
                <c:pt idx="21">
                  <c:v>46083</c:v>
                </c:pt>
                <c:pt idx="22">
                  <c:v>46080</c:v>
                </c:pt>
                <c:pt idx="23">
                  <c:v>46079</c:v>
                </c:pt>
                <c:pt idx="24">
                  <c:v>46078</c:v>
                </c:pt>
                <c:pt idx="25">
                  <c:v>46077</c:v>
                </c:pt>
                <c:pt idx="26">
                  <c:v>46076</c:v>
                </c:pt>
                <c:pt idx="27">
                  <c:v>46073</c:v>
                </c:pt>
                <c:pt idx="28">
                  <c:v>46072</c:v>
                </c:pt>
                <c:pt idx="29">
                  <c:v>46071</c:v>
                </c:pt>
                <c:pt idx="30">
                  <c:v>46070</c:v>
                </c:pt>
                <c:pt idx="31">
                  <c:v>46069</c:v>
                </c:pt>
                <c:pt idx="32">
                  <c:v>46066</c:v>
                </c:pt>
                <c:pt idx="33">
                  <c:v>46065</c:v>
                </c:pt>
                <c:pt idx="34">
                  <c:v>46064</c:v>
                </c:pt>
                <c:pt idx="35">
                  <c:v>46063</c:v>
                </c:pt>
                <c:pt idx="36">
                  <c:v>46062</c:v>
                </c:pt>
                <c:pt idx="37">
                  <c:v>46059</c:v>
                </c:pt>
                <c:pt idx="38">
                  <c:v>46058</c:v>
                </c:pt>
                <c:pt idx="39">
                  <c:v>46057</c:v>
                </c:pt>
                <c:pt idx="40">
                  <c:v>46056</c:v>
                </c:pt>
                <c:pt idx="41">
                  <c:v>46055</c:v>
                </c:pt>
                <c:pt idx="42">
                  <c:v>46052</c:v>
                </c:pt>
                <c:pt idx="43">
                  <c:v>46051</c:v>
                </c:pt>
                <c:pt idx="44">
                  <c:v>46050</c:v>
                </c:pt>
                <c:pt idx="45">
                  <c:v>46049</c:v>
                </c:pt>
                <c:pt idx="46">
                  <c:v>46045</c:v>
                </c:pt>
                <c:pt idx="47">
                  <c:v>46044</c:v>
                </c:pt>
                <c:pt idx="48">
                  <c:v>46043</c:v>
                </c:pt>
                <c:pt idx="49">
                  <c:v>46042</c:v>
                </c:pt>
                <c:pt idx="50">
                  <c:v>46041</c:v>
                </c:pt>
                <c:pt idx="51">
                  <c:v>46038</c:v>
                </c:pt>
                <c:pt idx="52">
                  <c:v>46036</c:v>
                </c:pt>
                <c:pt idx="53">
                  <c:v>46035</c:v>
                </c:pt>
                <c:pt idx="54">
                  <c:v>46034</c:v>
                </c:pt>
                <c:pt idx="55">
                  <c:v>46031</c:v>
                </c:pt>
                <c:pt idx="56">
                  <c:v>46030</c:v>
                </c:pt>
                <c:pt idx="57">
                  <c:v>46029</c:v>
                </c:pt>
                <c:pt idx="58">
                  <c:v>46028</c:v>
                </c:pt>
                <c:pt idx="59">
                  <c:v>46027</c:v>
                </c:pt>
                <c:pt idx="60">
                  <c:v>46024</c:v>
                </c:pt>
                <c:pt idx="61">
                  <c:v>46023</c:v>
                </c:pt>
                <c:pt idx="62">
                  <c:v>46022</c:v>
                </c:pt>
                <c:pt idx="63">
                  <c:v>46021</c:v>
                </c:pt>
                <c:pt idx="64">
                  <c:v>46020</c:v>
                </c:pt>
                <c:pt idx="65">
                  <c:v>46017</c:v>
                </c:pt>
                <c:pt idx="66">
                  <c:v>46015</c:v>
                </c:pt>
                <c:pt idx="67">
                  <c:v>46014</c:v>
                </c:pt>
                <c:pt idx="68">
                  <c:v>46013</c:v>
                </c:pt>
                <c:pt idx="69">
                  <c:v>46010</c:v>
                </c:pt>
                <c:pt idx="70">
                  <c:v>46009</c:v>
                </c:pt>
                <c:pt idx="71">
                  <c:v>46008</c:v>
                </c:pt>
                <c:pt idx="72">
                  <c:v>46007</c:v>
                </c:pt>
                <c:pt idx="73">
                  <c:v>46006</c:v>
                </c:pt>
                <c:pt idx="74">
                  <c:v>46003</c:v>
                </c:pt>
                <c:pt idx="75">
                  <c:v>46002</c:v>
                </c:pt>
                <c:pt idx="76">
                  <c:v>46001</c:v>
                </c:pt>
                <c:pt idx="77">
                  <c:v>46000</c:v>
                </c:pt>
                <c:pt idx="78">
                  <c:v>45999</c:v>
                </c:pt>
                <c:pt idx="79">
                  <c:v>45996</c:v>
                </c:pt>
                <c:pt idx="80">
                  <c:v>45995</c:v>
                </c:pt>
                <c:pt idx="81">
                  <c:v>45994</c:v>
                </c:pt>
                <c:pt idx="82">
                  <c:v>45993</c:v>
                </c:pt>
                <c:pt idx="83">
                  <c:v>45992</c:v>
                </c:pt>
                <c:pt idx="84">
                  <c:v>45989</c:v>
                </c:pt>
                <c:pt idx="85">
                  <c:v>45988</c:v>
                </c:pt>
                <c:pt idx="86">
                  <c:v>45987</c:v>
                </c:pt>
                <c:pt idx="87">
                  <c:v>45986</c:v>
                </c:pt>
                <c:pt idx="88">
                  <c:v>45985</c:v>
                </c:pt>
                <c:pt idx="89">
                  <c:v>45982</c:v>
                </c:pt>
                <c:pt idx="90">
                  <c:v>45981</c:v>
                </c:pt>
                <c:pt idx="91">
                  <c:v>45980</c:v>
                </c:pt>
                <c:pt idx="92">
                  <c:v>45979</c:v>
                </c:pt>
                <c:pt idx="93">
                  <c:v>45978</c:v>
                </c:pt>
                <c:pt idx="94">
                  <c:v>45975</c:v>
                </c:pt>
                <c:pt idx="95">
                  <c:v>45974</c:v>
                </c:pt>
                <c:pt idx="96">
                  <c:v>45973</c:v>
                </c:pt>
                <c:pt idx="97">
                  <c:v>45972</c:v>
                </c:pt>
                <c:pt idx="98">
                  <c:v>45971</c:v>
                </c:pt>
                <c:pt idx="99">
                  <c:v>45968</c:v>
                </c:pt>
                <c:pt idx="100">
                  <c:v>45967</c:v>
                </c:pt>
                <c:pt idx="101">
                  <c:v>45965</c:v>
                </c:pt>
                <c:pt idx="102">
                  <c:v>45964</c:v>
                </c:pt>
                <c:pt idx="103">
                  <c:v>45961</c:v>
                </c:pt>
                <c:pt idx="104">
                  <c:v>45960</c:v>
                </c:pt>
                <c:pt idx="105">
                  <c:v>45959</c:v>
                </c:pt>
                <c:pt idx="106">
                  <c:v>45958</c:v>
                </c:pt>
                <c:pt idx="107">
                  <c:v>45957</c:v>
                </c:pt>
                <c:pt idx="108">
                  <c:v>45954</c:v>
                </c:pt>
                <c:pt idx="109">
                  <c:v>45953</c:v>
                </c:pt>
                <c:pt idx="110">
                  <c:v>45951</c:v>
                </c:pt>
                <c:pt idx="111">
                  <c:v>45950</c:v>
                </c:pt>
                <c:pt idx="112">
                  <c:v>45947</c:v>
                </c:pt>
                <c:pt idx="113">
                  <c:v>45946</c:v>
                </c:pt>
                <c:pt idx="114">
                  <c:v>45945</c:v>
                </c:pt>
                <c:pt idx="115">
                  <c:v>45944</c:v>
                </c:pt>
                <c:pt idx="116">
                  <c:v>45943</c:v>
                </c:pt>
                <c:pt idx="117">
                  <c:v>45940</c:v>
                </c:pt>
                <c:pt idx="118">
                  <c:v>45939</c:v>
                </c:pt>
                <c:pt idx="119">
                  <c:v>45938</c:v>
                </c:pt>
                <c:pt idx="120">
                  <c:v>45937</c:v>
                </c:pt>
                <c:pt idx="121">
                  <c:v>45936</c:v>
                </c:pt>
                <c:pt idx="122">
                  <c:v>45933</c:v>
                </c:pt>
                <c:pt idx="123">
                  <c:v>45931</c:v>
                </c:pt>
                <c:pt idx="124">
                  <c:v>45930</c:v>
                </c:pt>
                <c:pt idx="125">
                  <c:v>45929</c:v>
                </c:pt>
                <c:pt idx="126">
                  <c:v>45926</c:v>
                </c:pt>
                <c:pt idx="127">
                  <c:v>45925</c:v>
                </c:pt>
                <c:pt idx="128">
                  <c:v>45924</c:v>
                </c:pt>
                <c:pt idx="129">
                  <c:v>45923</c:v>
                </c:pt>
                <c:pt idx="130">
                  <c:v>45922</c:v>
                </c:pt>
                <c:pt idx="131">
                  <c:v>45919</c:v>
                </c:pt>
                <c:pt idx="132">
                  <c:v>45918</c:v>
                </c:pt>
                <c:pt idx="133">
                  <c:v>45917</c:v>
                </c:pt>
                <c:pt idx="134">
                  <c:v>45916</c:v>
                </c:pt>
                <c:pt idx="135">
                  <c:v>45915</c:v>
                </c:pt>
                <c:pt idx="136">
                  <c:v>45912</c:v>
                </c:pt>
                <c:pt idx="137">
                  <c:v>45911</c:v>
                </c:pt>
                <c:pt idx="138">
                  <c:v>45910</c:v>
                </c:pt>
                <c:pt idx="139">
                  <c:v>45909</c:v>
                </c:pt>
                <c:pt idx="140">
                  <c:v>45908</c:v>
                </c:pt>
                <c:pt idx="141">
                  <c:v>45905</c:v>
                </c:pt>
                <c:pt idx="142">
                  <c:v>45904</c:v>
                </c:pt>
                <c:pt idx="143">
                  <c:v>45903</c:v>
                </c:pt>
                <c:pt idx="144">
                  <c:v>45902</c:v>
                </c:pt>
                <c:pt idx="145">
                  <c:v>45901</c:v>
                </c:pt>
                <c:pt idx="146">
                  <c:v>45898</c:v>
                </c:pt>
                <c:pt idx="147">
                  <c:v>45897</c:v>
                </c:pt>
                <c:pt idx="148">
                  <c:v>45895</c:v>
                </c:pt>
                <c:pt idx="149">
                  <c:v>45894</c:v>
                </c:pt>
                <c:pt idx="150">
                  <c:v>45891</c:v>
                </c:pt>
                <c:pt idx="151">
                  <c:v>45890</c:v>
                </c:pt>
                <c:pt idx="152">
                  <c:v>45889</c:v>
                </c:pt>
                <c:pt idx="153">
                  <c:v>45888</c:v>
                </c:pt>
                <c:pt idx="154">
                  <c:v>45887</c:v>
                </c:pt>
                <c:pt idx="155">
                  <c:v>45883</c:v>
                </c:pt>
                <c:pt idx="156">
                  <c:v>45882</c:v>
                </c:pt>
                <c:pt idx="157">
                  <c:v>45881</c:v>
                </c:pt>
                <c:pt idx="158">
                  <c:v>45880</c:v>
                </c:pt>
                <c:pt idx="159">
                  <c:v>45877</c:v>
                </c:pt>
                <c:pt idx="160">
                  <c:v>45876</c:v>
                </c:pt>
                <c:pt idx="161">
                  <c:v>45875</c:v>
                </c:pt>
                <c:pt idx="162">
                  <c:v>45874</c:v>
                </c:pt>
                <c:pt idx="163">
                  <c:v>45873</c:v>
                </c:pt>
                <c:pt idx="164">
                  <c:v>45870</c:v>
                </c:pt>
                <c:pt idx="165">
                  <c:v>45869</c:v>
                </c:pt>
                <c:pt idx="166">
                  <c:v>45868</c:v>
                </c:pt>
                <c:pt idx="167">
                  <c:v>45867</c:v>
                </c:pt>
                <c:pt idx="168">
                  <c:v>45866</c:v>
                </c:pt>
                <c:pt idx="169">
                  <c:v>45863</c:v>
                </c:pt>
                <c:pt idx="170">
                  <c:v>45862</c:v>
                </c:pt>
                <c:pt idx="171">
                  <c:v>45861</c:v>
                </c:pt>
                <c:pt idx="172">
                  <c:v>45860</c:v>
                </c:pt>
                <c:pt idx="173">
                  <c:v>45859</c:v>
                </c:pt>
                <c:pt idx="174">
                  <c:v>45856</c:v>
                </c:pt>
                <c:pt idx="175">
                  <c:v>45855</c:v>
                </c:pt>
                <c:pt idx="176">
                  <c:v>45854</c:v>
                </c:pt>
                <c:pt idx="177">
                  <c:v>45853</c:v>
                </c:pt>
                <c:pt idx="178">
                  <c:v>45852</c:v>
                </c:pt>
                <c:pt idx="179">
                  <c:v>45849</c:v>
                </c:pt>
                <c:pt idx="180">
                  <c:v>45848</c:v>
                </c:pt>
                <c:pt idx="181">
                  <c:v>45847</c:v>
                </c:pt>
                <c:pt idx="182">
                  <c:v>45846</c:v>
                </c:pt>
                <c:pt idx="183">
                  <c:v>45845</c:v>
                </c:pt>
                <c:pt idx="184">
                  <c:v>45842</c:v>
                </c:pt>
                <c:pt idx="185">
                  <c:v>45841</c:v>
                </c:pt>
                <c:pt idx="186">
                  <c:v>45840</c:v>
                </c:pt>
                <c:pt idx="187">
                  <c:v>45839</c:v>
                </c:pt>
                <c:pt idx="188">
                  <c:v>45838</c:v>
                </c:pt>
                <c:pt idx="189">
                  <c:v>45835</c:v>
                </c:pt>
                <c:pt idx="190">
                  <c:v>45834</c:v>
                </c:pt>
                <c:pt idx="191">
                  <c:v>45833</c:v>
                </c:pt>
                <c:pt idx="192">
                  <c:v>45832</c:v>
                </c:pt>
                <c:pt idx="193">
                  <c:v>45831</c:v>
                </c:pt>
                <c:pt idx="194">
                  <c:v>45828</c:v>
                </c:pt>
                <c:pt idx="195">
                  <c:v>45827</c:v>
                </c:pt>
                <c:pt idx="196">
                  <c:v>45826</c:v>
                </c:pt>
                <c:pt idx="197">
                  <c:v>45825</c:v>
                </c:pt>
                <c:pt idx="198">
                  <c:v>45824</c:v>
                </c:pt>
                <c:pt idx="199">
                  <c:v>45821</c:v>
                </c:pt>
                <c:pt idx="200">
                  <c:v>45820</c:v>
                </c:pt>
                <c:pt idx="201">
                  <c:v>45819</c:v>
                </c:pt>
                <c:pt idx="202">
                  <c:v>45818</c:v>
                </c:pt>
                <c:pt idx="203">
                  <c:v>45817</c:v>
                </c:pt>
                <c:pt idx="204">
                  <c:v>45814</c:v>
                </c:pt>
                <c:pt idx="205">
                  <c:v>45813</c:v>
                </c:pt>
                <c:pt idx="206">
                  <c:v>45812</c:v>
                </c:pt>
                <c:pt idx="207">
                  <c:v>45811</c:v>
                </c:pt>
                <c:pt idx="208">
                  <c:v>45810</c:v>
                </c:pt>
                <c:pt idx="209">
                  <c:v>45807</c:v>
                </c:pt>
                <c:pt idx="210">
                  <c:v>45806</c:v>
                </c:pt>
                <c:pt idx="211">
                  <c:v>45805</c:v>
                </c:pt>
                <c:pt idx="212">
                  <c:v>45804</c:v>
                </c:pt>
                <c:pt idx="213">
                  <c:v>45803</c:v>
                </c:pt>
                <c:pt idx="214">
                  <c:v>45800</c:v>
                </c:pt>
                <c:pt idx="215">
                  <c:v>45799</c:v>
                </c:pt>
                <c:pt idx="216">
                  <c:v>45798</c:v>
                </c:pt>
                <c:pt idx="217">
                  <c:v>45797</c:v>
                </c:pt>
                <c:pt idx="218">
                  <c:v>45796</c:v>
                </c:pt>
                <c:pt idx="219">
                  <c:v>45793</c:v>
                </c:pt>
                <c:pt idx="220">
                  <c:v>45792</c:v>
                </c:pt>
                <c:pt idx="221">
                  <c:v>45791</c:v>
                </c:pt>
                <c:pt idx="222">
                  <c:v>45790</c:v>
                </c:pt>
                <c:pt idx="223">
                  <c:v>45789</c:v>
                </c:pt>
                <c:pt idx="224">
                  <c:v>45786</c:v>
                </c:pt>
                <c:pt idx="225">
                  <c:v>45785</c:v>
                </c:pt>
                <c:pt idx="226">
                  <c:v>45784</c:v>
                </c:pt>
                <c:pt idx="227">
                  <c:v>45783</c:v>
                </c:pt>
                <c:pt idx="228">
                  <c:v>45782</c:v>
                </c:pt>
                <c:pt idx="229">
                  <c:v>45779</c:v>
                </c:pt>
                <c:pt idx="230">
                  <c:v>45777</c:v>
                </c:pt>
                <c:pt idx="231">
                  <c:v>45776</c:v>
                </c:pt>
                <c:pt idx="232">
                  <c:v>45775</c:v>
                </c:pt>
                <c:pt idx="233">
                  <c:v>45772</c:v>
                </c:pt>
                <c:pt idx="234">
                  <c:v>45771</c:v>
                </c:pt>
                <c:pt idx="235">
                  <c:v>45770</c:v>
                </c:pt>
                <c:pt idx="236">
                  <c:v>45769</c:v>
                </c:pt>
                <c:pt idx="237">
                  <c:v>45768</c:v>
                </c:pt>
                <c:pt idx="238">
                  <c:v>45764</c:v>
                </c:pt>
                <c:pt idx="239">
                  <c:v>45763</c:v>
                </c:pt>
                <c:pt idx="240">
                  <c:v>45762</c:v>
                </c:pt>
                <c:pt idx="241">
                  <c:v>45758</c:v>
                </c:pt>
                <c:pt idx="242">
                  <c:v>45756</c:v>
                </c:pt>
                <c:pt idx="243">
                  <c:v>45755</c:v>
                </c:pt>
                <c:pt idx="244">
                  <c:v>45754</c:v>
                </c:pt>
                <c:pt idx="245">
                  <c:v>45751</c:v>
                </c:pt>
                <c:pt idx="246">
                  <c:v>45750</c:v>
                </c:pt>
                <c:pt idx="247">
                  <c:v>45749</c:v>
                </c:pt>
                <c:pt idx="248">
                  <c:v>45748</c:v>
                </c:pt>
                <c:pt idx="249">
                  <c:v>45744</c:v>
                </c:pt>
                <c:pt idx="250">
                  <c:v>45743</c:v>
                </c:pt>
                <c:pt idx="251">
                  <c:v>45742</c:v>
                </c:pt>
                <c:pt idx="252">
                  <c:v>45741</c:v>
                </c:pt>
                <c:pt idx="253">
                  <c:v>45740</c:v>
                </c:pt>
                <c:pt idx="254">
                  <c:v>45737</c:v>
                </c:pt>
                <c:pt idx="255">
                  <c:v>45736</c:v>
                </c:pt>
                <c:pt idx="256">
                  <c:v>45735</c:v>
                </c:pt>
                <c:pt idx="257">
                  <c:v>45734</c:v>
                </c:pt>
                <c:pt idx="258">
                  <c:v>45733</c:v>
                </c:pt>
                <c:pt idx="259">
                  <c:v>45729</c:v>
                </c:pt>
                <c:pt idx="260">
                  <c:v>45728</c:v>
                </c:pt>
                <c:pt idx="261">
                  <c:v>45727</c:v>
                </c:pt>
                <c:pt idx="262">
                  <c:v>45726</c:v>
                </c:pt>
                <c:pt idx="263">
                  <c:v>45723</c:v>
                </c:pt>
                <c:pt idx="264">
                  <c:v>45722</c:v>
                </c:pt>
                <c:pt idx="265">
                  <c:v>45721</c:v>
                </c:pt>
                <c:pt idx="266">
                  <c:v>45720</c:v>
                </c:pt>
                <c:pt idx="267">
                  <c:v>45719</c:v>
                </c:pt>
                <c:pt idx="268">
                  <c:v>45716</c:v>
                </c:pt>
                <c:pt idx="269">
                  <c:v>45715</c:v>
                </c:pt>
                <c:pt idx="270">
                  <c:v>45713</c:v>
                </c:pt>
                <c:pt idx="271">
                  <c:v>45712</c:v>
                </c:pt>
                <c:pt idx="272">
                  <c:v>45709</c:v>
                </c:pt>
                <c:pt idx="273">
                  <c:v>45708</c:v>
                </c:pt>
                <c:pt idx="274">
                  <c:v>45707</c:v>
                </c:pt>
                <c:pt idx="275">
                  <c:v>45706</c:v>
                </c:pt>
                <c:pt idx="276">
                  <c:v>45705</c:v>
                </c:pt>
                <c:pt idx="277">
                  <c:v>45702</c:v>
                </c:pt>
                <c:pt idx="278">
                  <c:v>45701</c:v>
                </c:pt>
                <c:pt idx="279">
                  <c:v>45700</c:v>
                </c:pt>
                <c:pt idx="280">
                  <c:v>45699</c:v>
                </c:pt>
                <c:pt idx="281">
                  <c:v>45698</c:v>
                </c:pt>
                <c:pt idx="282">
                  <c:v>45695</c:v>
                </c:pt>
                <c:pt idx="283">
                  <c:v>45694</c:v>
                </c:pt>
                <c:pt idx="284">
                  <c:v>45693</c:v>
                </c:pt>
                <c:pt idx="285">
                  <c:v>45692</c:v>
                </c:pt>
                <c:pt idx="286">
                  <c:v>45691</c:v>
                </c:pt>
                <c:pt idx="287">
                  <c:v>45689</c:v>
                </c:pt>
                <c:pt idx="288">
                  <c:v>45688</c:v>
                </c:pt>
                <c:pt idx="289">
                  <c:v>45687</c:v>
                </c:pt>
                <c:pt idx="290">
                  <c:v>45686</c:v>
                </c:pt>
                <c:pt idx="291">
                  <c:v>45685</c:v>
                </c:pt>
                <c:pt idx="292">
                  <c:v>45684</c:v>
                </c:pt>
                <c:pt idx="293">
                  <c:v>45681</c:v>
                </c:pt>
                <c:pt idx="294">
                  <c:v>45680</c:v>
                </c:pt>
                <c:pt idx="295">
                  <c:v>45679</c:v>
                </c:pt>
                <c:pt idx="296">
                  <c:v>45678</c:v>
                </c:pt>
                <c:pt idx="297">
                  <c:v>45677</c:v>
                </c:pt>
                <c:pt idx="298">
                  <c:v>45674</c:v>
                </c:pt>
                <c:pt idx="299">
                  <c:v>45673</c:v>
                </c:pt>
                <c:pt idx="300">
                  <c:v>45672</c:v>
                </c:pt>
                <c:pt idx="301">
                  <c:v>45671</c:v>
                </c:pt>
                <c:pt idx="302">
                  <c:v>45670</c:v>
                </c:pt>
                <c:pt idx="303">
                  <c:v>45667</c:v>
                </c:pt>
                <c:pt idx="304">
                  <c:v>45666</c:v>
                </c:pt>
                <c:pt idx="305">
                  <c:v>45665</c:v>
                </c:pt>
                <c:pt idx="306">
                  <c:v>45664</c:v>
                </c:pt>
                <c:pt idx="307">
                  <c:v>45663</c:v>
                </c:pt>
                <c:pt idx="308">
                  <c:v>45660</c:v>
                </c:pt>
                <c:pt idx="309">
                  <c:v>45659</c:v>
                </c:pt>
                <c:pt idx="310">
                  <c:v>45658</c:v>
                </c:pt>
                <c:pt idx="311">
                  <c:v>45657</c:v>
                </c:pt>
                <c:pt idx="312">
                  <c:v>45656</c:v>
                </c:pt>
                <c:pt idx="313">
                  <c:v>45653</c:v>
                </c:pt>
                <c:pt idx="314">
                  <c:v>45652</c:v>
                </c:pt>
                <c:pt idx="315">
                  <c:v>45650</c:v>
                </c:pt>
                <c:pt idx="316">
                  <c:v>45649</c:v>
                </c:pt>
                <c:pt idx="317">
                  <c:v>45646</c:v>
                </c:pt>
                <c:pt idx="318">
                  <c:v>45645</c:v>
                </c:pt>
                <c:pt idx="319">
                  <c:v>45644</c:v>
                </c:pt>
                <c:pt idx="320">
                  <c:v>45643</c:v>
                </c:pt>
                <c:pt idx="321">
                  <c:v>45642</c:v>
                </c:pt>
                <c:pt idx="322">
                  <c:v>45639</c:v>
                </c:pt>
                <c:pt idx="323">
                  <c:v>45638</c:v>
                </c:pt>
                <c:pt idx="324">
                  <c:v>45637</c:v>
                </c:pt>
                <c:pt idx="325">
                  <c:v>45636</c:v>
                </c:pt>
                <c:pt idx="326">
                  <c:v>45635</c:v>
                </c:pt>
                <c:pt idx="327">
                  <c:v>45632</c:v>
                </c:pt>
                <c:pt idx="328">
                  <c:v>45631</c:v>
                </c:pt>
                <c:pt idx="329">
                  <c:v>45630</c:v>
                </c:pt>
                <c:pt idx="330">
                  <c:v>45629</c:v>
                </c:pt>
                <c:pt idx="331">
                  <c:v>45628</c:v>
                </c:pt>
                <c:pt idx="332">
                  <c:v>45625</c:v>
                </c:pt>
                <c:pt idx="333">
                  <c:v>45624</c:v>
                </c:pt>
                <c:pt idx="334">
                  <c:v>45623</c:v>
                </c:pt>
                <c:pt idx="335">
                  <c:v>45622</c:v>
                </c:pt>
                <c:pt idx="336">
                  <c:v>45621</c:v>
                </c:pt>
                <c:pt idx="337">
                  <c:v>45618</c:v>
                </c:pt>
                <c:pt idx="338">
                  <c:v>45617</c:v>
                </c:pt>
                <c:pt idx="339">
                  <c:v>45615</c:v>
                </c:pt>
                <c:pt idx="340">
                  <c:v>45614</c:v>
                </c:pt>
                <c:pt idx="341">
                  <c:v>45610</c:v>
                </c:pt>
                <c:pt idx="342">
                  <c:v>45609</c:v>
                </c:pt>
                <c:pt idx="343">
                  <c:v>45608</c:v>
                </c:pt>
                <c:pt idx="344">
                  <c:v>45607</c:v>
                </c:pt>
                <c:pt idx="345">
                  <c:v>45604</c:v>
                </c:pt>
                <c:pt idx="346">
                  <c:v>45603</c:v>
                </c:pt>
                <c:pt idx="347">
                  <c:v>45602</c:v>
                </c:pt>
                <c:pt idx="348">
                  <c:v>45600</c:v>
                </c:pt>
                <c:pt idx="349">
                  <c:v>45597</c:v>
                </c:pt>
                <c:pt idx="350">
                  <c:v>45596</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45530</c:v>
                </c:pt>
                <c:pt idx="396">
                  <c:v>45527</c:v>
                </c:pt>
                <c:pt idx="397">
                  <c:v>45526</c:v>
                </c:pt>
                <c:pt idx="398">
                  <c:v>45525</c:v>
                </c:pt>
                <c:pt idx="399">
                  <c:v>45524</c:v>
                </c:pt>
                <c:pt idx="400">
                  <c:v>45523</c:v>
                </c:pt>
                <c:pt idx="401">
                  <c:v>45520</c:v>
                </c:pt>
                <c:pt idx="402">
                  <c:v>45518</c:v>
                </c:pt>
                <c:pt idx="403">
                  <c:v>45517</c:v>
                </c:pt>
                <c:pt idx="404">
                  <c:v>45516</c:v>
                </c:pt>
                <c:pt idx="405">
                  <c:v>45513</c:v>
                </c:pt>
                <c:pt idx="406">
                  <c:v>45512</c:v>
                </c:pt>
                <c:pt idx="407">
                  <c:v>45511</c:v>
                </c:pt>
                <c:pt idx="408">
                  <c:v>45510</c:v>
                </c:pt>
                <c:pt idx="409">
                  <c:v>45509</c:v>
                </c:pt>
                <c:pt idx="410">
                  <c:v>45506</c:v>
                </c:pt>
                <c:pt idx="411">
                  <c:v>45505</c:v>
                </c:pt>
                <c:pt idx="412">
                  <c:v>45504</c:v>
                </c:pt>
                <c:pt idx="413">
                  <c:v>45503</c:v>
                </c:pt>
                <c:pt idx="414">
                  <c:v>45502</c:v>
                </c:pt>
                <c:pt idx="415">
                  <c:v>45499</c:v>
                </c:pt>
                <c:pt idx="416">
                  <c:v>45498</c:v>
                </c:pt>
                <c:pt idx="417">
                  <c:v>45497</c:v>
                </c:pt>
                <c:pt idx="418">
                  <c:v>45496</c:v>
                </c:pt>
                <c:pt idx="419">
                  <c:v>45495</c:v>
                </c:pt>
                <c:pt idx="420">
                  <c:v>45492</c:v>
                </c:pt>
                <c:pt idx="421">
                  <c:v>45491</c:v>
                </c:pt>
                <c:pt idx="422">
                  <c:v>45489</c:v>
                </c:pt>
                <c:pt idx="423">
                  <c:v>45488</c:v>
                </c:pt>
                <c:pt idx="424">
                  <c:v>45485</c:v>
                </c:pt>
                <c:pt idx="425">
                  <c:v>45484</c:v>
                </c:pt>
                <c:pt idx="426">
                  <c:v>45483</c:v>
                </c:pt>
                <c:pt idx="427">
                  <c:v>45482</c:v>
                </c:pt>
                <c:pt idx="428">
                  <c:v>45481</c:v>
                </c:pt>
                <c:pt idx="429">
                  <c:v>45478</c:v>
                </c:pt>
                <c:pt idx="430">
                  <c:v>45477</c:v>
                </c:pt>
                <c:pt idx="431">
                  <c:v>45476</c:v>
                </c:pt>
                <c:pt idx="432">
                  <c:v>45475</c:v>
                </c:pt>
                <c:pt idx="433">
                  <c:v>45474</c:v>
                </c:pt>
                <c:pt idx="434">
                  <c:v>45471</c:v>
                </c:pt>
                <c:pt idx="435">
                  <c:v>45470</c:v>
                </c:pt>
                <c:pt idx="436">
                  <c:v>45469</c:v>
                </c:pt>
                <c:pt idx="437">
                  <c:v>45468</c:v>
                </c:pt>
                <c:pt idx="438">
                  <c:v>45467</c:v>
                </c:pt>
                <c:pt idx="439">
                  <c:v>45464</c:v>
                </c:pt>
                <c:pt idx="440">
                  <c:v>45463</c:v>
                </c:pt>
                <c:pt idx="441">
                  <c:v>45462</c:v>
                </c:pt>
                <c:pt idx="442">
                  <c:v>45461</c:v>
                </c:pt>
                <c:pt idx="443">
                  <c:v>45457</c:v>
                </c:pt>
                <c:pt idx="444">
                  <c:v>45456</c:v>
                </c:pt>
                <c:pt idx="445">
                  <c:v>45455</c:v>
                </c:pt>
                <c:pt idx="446">
                  <c:v>45454</c:v>
                </c:pt>
                <c:pt idx="447">
                  <c:v>45453</c:v>
                </c:pt>
                <c:pt idx="448">
                  <c:v>45450</c:v>
                </c:pt>
                <c:pt idx="449">
                  <c:v>45449</c:v>
                </c:pt>
                <c:pt idx="450">
                  <c:v>45448</c:v>
                </c:pt>
                <c:pt idx="451">
                  <c:v>45447</c:v>
                </c:pt>
                <c:pt idx="452">
                  <c:v>45446</c:v>
                </c:pt>
                <c:pt idx="453">
                  <c:v>45443</c:v>
                </c:pt>
                <c:pt idx="454">
                  <c:v>45442</c:v>
                </c:pt>
                <c:pt idx="455">
                  <c:v>45441</c:v>
                </c:pt>
                <c:pt idx="456">
                  <c:v>45440</c:v>
                </c:pt>
                <c:pt idx="457">
                  <c:v>45439</c:v>
                </c:pt>
                <c:pt idx="458">
                  <c:v>45436</c:v>
                </c:pt>
                <c:pt idx="459">
                  <c:v>45435</c:v>
                </c:pt>
                <c:pt idx="460">
                  <c:v>45434</c:v>
                </c:pt>
                <c:pt idx="461">
                  <c:v>45433</c:v>
                </c:pt>
                <c:pt idx="462">
                  <c:v>45429</c:v>
                </c:pt>
                <c:pt idx="463">
                  <c:v>45428</c:v>
                </c:pt>
                <c:pt idx="464">
                  <c:v>45427</c:v>
                </c:pt>
                <c:pt idx="465">
                  <c:v>45426</c:v>
                </c:pt>
                <c:pt idx="466">
                  <c:v>45425</c:v>
                </c:pt>
                <c:pt idx="467">
                  <c:v>45422</c:v>
                </c:pt>
                <c:pt idx="468">
                  <c:v>45421</c:v>
                </c:pt>
                <c:pt idx="469">
                  <c:v>45420</c:v>
                </c:pt>
                <c:pt idx="470">
                  <c:v>45419</c:v>
                </c:pt>
                <c:pt idx="471">
                  <c:v>45418</c:v>
                </c:pt>
                <c:pt idx="472">
                  <c:v>45415</c:v>
                </c:pt>
                <c:pt idx="473">
                  <c:v>45414</c:v>
                </c:pt>
                <c:pt idx="474">
                  <c:v>45412</c:v>
                </c:pt>
                <c:pt idx="475">
                  <c:v>45411</c:v>
                </c:pt>
                <c:pt idx="476">
                  <c:v>45408</c:v>
                </c:pt>
                <c:pt idx="477">
                  <c:v>45407</c:v>
                </c:pt>
                <c:pt idx="478">
                  <c:v>45406</c:v>
                </c:pt>
                <c:pt idx="479">
                  <c:v>45405</c:v>
                </c:pt>
                <c:pt idx="480">
                  <c:v>45404</c:v>
                </c:pt>
                <c:pt idx="481">
                  <c:v>45401</c:v>
                </c:pt>
                <c:pt idx="482">
                  <c:v>45400</c:v>
                </c:pt>
                <c:pt idx="483">
                  <c:v>45398</c:v>
                </c:pt>
                <c:pt idx="484">
                  <c:v>45397</c:v>
                </c:pt>
                <c:pt idx="485">
                  <c:v>45394</c:v>
                </c:pt>
                <c:pt idx="486">
                  <c:v>45392</c:v>
                </c:pt>
                <c:pt idx="487">
                  <c:v>45391</c:v>
                </c:pt>
                <c:pt idx="488">
                  <c:v>45390</c:v>
                </c:pt>
                <c:pt idx="489">
                  <c:v>45387</c:v>
                </c:pt>
                <c:pt idx="490">
                  <c:v>45386</c:v>
                </c:pt>
                <c:pt idx="491">
                  <c:v>45385</c:v>
                </c:pt>
                <c:pt idx="492">
                  <c:v>45384</c:v>
                </c:pt>
                <c:pt idx="493">
                  <c:v>45383</c:v>
                </c:pt>
                <c:pt idx="494">
                  <c:v>45379</c:v>
                </c:pt>
                <c:pt idx="495">
                  <c:v>45378</c:v>
                </c:pt>
                <c:pt idx="496">
                  <c:v>45377</c:v>
                </c:pt>
                <c:pt idx="497">
                  <c:v>45373</c:v>
                </c:pt>
                <c:pt idx="498">
                  <c:v>45372</c:v>
                </c:pt>
                <c:pt idx="499">
                  <c:v>45371</c:v>
                </c:pt>
                <c:pt idx="500">
                  <c:v>45370</c:v>
                </c:pt>
                <c:pt idx="501">
                  <c:v>45369</c:v>
                </c:pt>
                <c:pt idx="502">
                  <c:v>45366</c:v>
                </c:pt>
                <c:pt idx="503">
                  <c:v>45365</c:v>
                </c:pt>
                <c:pt idx="504">
                  <c:v>45364</c:v>
                </c:pt>
                <c:pt idx="505">
                  <c:v>45363</c:v>
                </c:pt>
                <c:pt idx="506">
                  <c:v>45362</c:v>
                </c:pt>
                <c:pt idx="507">
                  <c:v>45358</c:v>
                </c:pt>
                <c:pt idx="508">
                  <c:v>45357</c:v>
                </c:pt>
                <c:pt idx="509">
                  <c:v>45356</c:v>
                </c:pt>
                <c:pt idx="510">
                  <c:v>45355</c:v>
                </c:pt>
                <c:pt idx="511">
                  <c:v>45352</c:v>
                </c:pt>
                <c:pt idx="512">
                  <c:v>45351</c:v>
                </c:pt>
                <c:pt idx="513">
                  <c:v>45350</c:v>
                </c:pt>
                <c:pt idx="514">
                  <c:v>45349</c:v>
                </c:pt>
                <c:pt idx="515">
                  <c:v>45348</c:v>
                </c:pt>
                <c:pt idx="516">
                  <c:v>45345</c:v>
                </c:pt>
                <c:pt idx="517">
                  <c:v>45344</c:v>
                </c:pt>
                <c:pt idx="518">
                  <c:v>45343</c:v>
                </c:pt>
                <c:pt idx="519">
                  <c:v>45342</c:v>
                </c:pt>
                <c:pt idx="520">
                  <c:v>45341</c:v>
                </c:pt>
                <c:pt idx="521">
                  <c:v>45338</c:v>
                </c:pt>
                <c:pt idx="522">
                  <c:v>45337</c:v>
                </c:pt>
                <c:pt idx="523">
                  <c:v>45336</c:v>
                </c:pt>
                <c:pt idx="524">
                  <c:v>45335</c:v>
                </c:pt>
                <c:pt idx="525">
                  <c:v>45334</c:v>
                </c:pt>
                <c:pt idx="526">
                  <c:v>45331</c:v>
                </c:pt>
                <c:pt idx="527">
                  <c:v>45330</c:v>
                </c:pt>
                <c:pt idx="528">
                  <c:v>45329</c:v>
                </c:pt>
                <c:pt idx="529">
                  <c:v>45328</c:v>
                </c:pt>
                <c:pt idx="530">
                  <c:v>45327</c:v>
                </c:pt>
                <c:pt idx="531">
                  <c:v>45324</c:v>
                </c:pt>
                <c:pt idx="532">
                  <c:v>45323</c:v>
                </c:pt>
                <c:pt idx="533">
                  <c:v>45322</c:v>
                </c:pt>
                <c:pt idx="534">
                  <c:v>45321</c:v>
                </c:pt>
                <c:pt idx="535">
                  <c:v>45320</c:v>
                </c:pt>
                <c:pt idx="536">
                  <c:v>45316</c:v>
                </c:pt>
                <c:pt idx="537">
                  <c:v>45315</c:v>
                </c:pt>
                <c:pt idx="538">
                  <c:v>45314</c:v>
                </c:pt>
                <c:pt idx="539">
                  <c:v>45310</c:v>
                </c:pt>
                <c:pt idx="540">
                  <c:v>45308</c:v>
                </c:pt>
                <c:pt idx="541">
                  <c:v>45307</c:v>
                </c:pt>
                <c:pt idx="542">
                  <c:v>45306</c:v>
                </c:pt>
                <c:pt idx="543">
                  <c:v>45303</c:v>
                </c:pt>
                <c:pt idx="544">
                  <c:v>45302</c:v>
                </c:pt>
                <c:pt idx="545">
                  <c:v>45301</c:v>
                </c:pt>
                <c:pt idx="546">
                  <c:v>45300</c:v>
                </c:pt>
                <c:pt idx="547">
                  <c:v>45299</c:v>
                </c:pt>
                <c:pt idx="548">
                  <c:v>45296</c:v>
                </c:pt>
                <c:pt idx="549">
                  <c:v>45295</c:v>
                </c:pt>
                <c:pt idx="550">
                  <c:v>45294</c:v>
                </c:pt>
                <c:pt idx="551">
                  <c:v>45293</c:v>
                </c:pt>
                <c:pt idx="552">
                  <c:v>45292</c:v>
                </c:pt>
                <c:pt idx="553">
                  <c:v>45289</c:v>
                </c:pt>
                <c:pt idx="554">
                  <c:v>45288</c:v>
                </c:pt>
                <c:pt idx="555">
                  <c:v>45287</c:v>
                </c:pt>
                <c:pt idx="556">
                  <c:v>45286</c:v>
                </c:pt>
                <c:pt idx="557">
                  <c:v>45282</c:v>
                </c:pt>
                <c:pt idx="558">
                  <c:v>45281</c:v>
                </c:pt>
                <c:pt idx="559">
                  <c:v>45280</c:v>
                </c:pt>
                <c:pt idx="560">
                  <c:v>45279</c:v>
                </c:pt>
                <c:pt idx="561">
                  <c:v>45278</c:v>
                </c:pt>
                <c:pt idx="562">
                  <c:v>45275</c:v>
                </c:pt>
                <c:pt idx="563">
                  <c:v>45274</c:v>
                </c:pt>
                <c:pt idx="564">
                  <c:v>45273</c:v>
                </c:pt>
                <c:pt idx="565">
                  <c:v>45272</c:v>
                </c:pt>
                <c:pt idx="566">
                  <c:v>45271</c:v>
                </c:pt>
                <c:pt idx="567">
                  <c:v>45268</c:v>
                </c:pt>
                <c:pt idx="568">
                  <c:v>45267</c:v>
                </c:pt>
                <c:pt idx="569">
                  <c:v>45266</c:v>
                </c:pt>
                <c:pt idx="570">
                  <c:v>45265</c:v>
                </c:pt>
                <c:pt idx="571">
                  <c:v>45264</c:v>
                </c:pt>
                <c:pt idx="572">
                  <c:v>45261</c:v>
                </c:pt>
                <c:pt idx="573">
                  <c:v>45260</c:v>
                </c:pt>
                <c:pt idx="574">
                  <c:v>45259</c:v>
                </c:pt>
                <c:pt idx="575">
                  <c:v>45258</c:v>
                </c:pt>
                <c:pt idx="576">
                  <c:v>45254</c:v>
                </c:pt>
                <c:pt idx="577">
                  <c:v>45253</c:v>
                </c:pt>
                <c:pt idx="578">
                  <c:v>45252</c:v>
                </c:pt>
                <c:pt idx="579">
                  <c:v>45251</c:v>
                </c:pt>
                <c:pt idx="580">
                  <c:v>45250</c:v>
                </c:pt>
                <c:pt idx="581">
                  <c:v>45247</c:v>
                </c:pt>
                <c:pt idx="582">
                  <c:v>45246</c:v>
                </c:pt>
                <c:pt idx="583">
                  <c:v>45245</c:v>
                </c:pt>
                <c:pt idx="584">
                  <c:v>45243</c:v>
                </c:pt>
                <c:pt idx="585">
                  <c:v>45240</c:v>
                </c:pt>
                <c:pt idx="586">
                  <c:v>45239</c:v>
                </c:pt>
                <c:pt idx="587">
                  <c:v>45238</c:v>
                </c:pt>
                <c:pt idx="588">
                  <c:v>45237</c:v>
                </c:pt>
                <c:pt idx="589">
                  <c:v>45236</c:v>
                </c:pt>
                <c:pt idx="590">
                  <c:v>45233</c:v>
                </c:pt>
                <c:pt idx="591">
                  <c:v>45232</c:v>
                </c:pt>
                <c:pt idx="592">
                  <c:v>45231</c:v>
                </c:pt>
                <c:pt idx="593">
                  <c:v>45230</c:v>
                </c:pt>
                <c:pt idx="594">
                  <c:v>45229</c:v>
                </c:pt>
                <c:pt idx="595">
                  <c:v>45226</c:v>
                </c:pt>
                <c:pt idx="596">
                  <c:v>45225</c:v>
                </c:pt>
                <c:pt idx="597">
                  <c:v>45224</c:v>
                </c:pt>
                <c:pt idx="598">
                  <c:v>45222</c:v>
                </c:pt>
                <c:pt idx="599">
                  <c:v>45219</c:v>
                </c:pt>
                <c:pt idx="600">
                  <c:v>45218</c:v>
                </c:pt>
                <c:pt idx="601">
                  <c:v>45217</c:v>
                </c:pt>
                <c:pt idx="602">
                  <c:v>45216</c:v>
                </c:pt>
                <c:pt idx="603">
                  <c:v>45215</c:v>
                </c:pt>
                <c:pt idx="604">
                  <c:v>45212</c:v>
                </c:pt>
                <c:pt idx="605">
                  <c:v>45211</c:v>
                </c:pt>
                <c:pt idx="606">
                  <c:v>45210</c:v>
                </c:pt>
                <c:pt idx="607">
                  <c:v>45209</c:v>
                </c:pt>
                <c:pt idx="608">
                  <c:v>45208</c:v>
                </c:pt>
                <c:pt idx="609">
                  <c:v>45205</c:v>
                </c:pt>
                <c:pt idx="610">
                  <c:v>45204</c:v>
                </c:pt>
                <c:pt idx="611">
                  <c:v>45203</c:v>
                </c:pt>
                <c:pt idx="612">
                  <c:v>45202</c:v>
                </c:pt>
                <c:pt idx="613">
                  <c:v>45198</c:v>
                </c:pt>
                <c:pt idx="614">
                  <c:v>45197</c:v>
                </c:pt>
                <c:pt idx="615">
                  <c:v>45196</c:v>
                </c:pt>
                <c:pt idx="616">
                  <c:v>45195</c:v>
                </c:pt>
                <c:pt idx="617">
                  <c:v>45194</c:v>
                </c:pt>
                <c:pt idx="618">
                  <c:v>45191</c:v>
                </c:pt>
                <c:pt idx="619">
                  <c:v>45190</c:v>
                </c:pt>
                <c:pt idx="620">
                  <c:v>45189</c:v>
                </c:pt>
                <c:pt idx="621">
                  <c:v>45187</c:v>
                </c:pt>
                <c:pt idx="622">
                  <c:v>45184</c:v>
                </c:pt>
                <c:pt idx="623">
                  <c:v>45183</c:v>
                </c:pt>
                <c:pt idx="624">
                  <c:v>45182</c:v>
                </c:pt>
                <c:pt idx="625">
                  <c:v>45181</c:v>
                </c:pt>
                <c:pt idx="626">
                  <c:v>45180</c:v>
                </c:pt>
                <c:pt idx="627">
                  <c:v>45177</c:v>
                </c:pt>
                <c:pt idx="628">
                  <c:v>45176</c:v>
                </c:pt>
                <c:pt idx="629">
                  <c:v>45175</c:v>
                </c:pt>
                <c:pt idx="630">
                  <c:v>45174</c:v>
                </c:pt>
                <c:pt idx="631">
                  <c:v>45173</c:v>
                </c:pt>
                <c:pt idx="632">
                  <c:v>45170</c:v>
                </c:pt>
                <c:pt idx="633">
                  <c:v>45169</c:v>
                </c:pt>
                <c:pt idx="634">
                  <c:v>45168</c:v>
                </c:pt>
                <c:pt idx="635">
                  <c:v>45167</c:v>
                </c:pt>
                <c:pt idx="636">
                  <c:v>45166</c:v>
                </c:pt>
                <c:pt idx="637">
                  <c:v>45163</c:v>
                </c:pt>
                <c:pt idx="638">
                  <c:v>45162</c:v>
                </c:pt>
                <c:pt idx="639">
                  <c:v>45161</c:v>
                </c:pt>
                <c:pt idx="640">
                  <c:v>45160</c:v>
                </c:pt>
                <c:pt idx="641">
                  <c:v>45159</c:v>
                </c:pt>
                <c:pt idx="642">
                  <c:v>45156</c:v>
                </c:pt>
                <c:pt idx="643">
                  <c:v>45155</c:v>
                </c:pt>
                <c:pt idx="644">
                  <c:v>45154</c:v>
                </c:pt>
                <c:pt idx="645">
                  <c:v>45152</c:v>
                </c:pt>
                <c:pt idx="646">
                  <c:v>45149</c:v>
                </c:pt>
                <c:pt idx="647">
                  <c:v>45148</c:v>
                </c:pt>
                <c:pt idx="648">
                  <c:v>45147</c:v>
                </c:pt>
                <c:pt idx="649">
                  <c:v>45146</c:v>
                </c:pt>
                <c:pt idx="650">
                  <c:v>45145</c:v>
                </c:pt>
                <c:pt idx="651">
                  <c:v>45142</c:v>
                </c:pt>
                <c:pt idx="652">
                  <c:v>45141</c:v>
                </c:pt>
                <c:pt idx="653">
                  <c:v>45135</c:v>
                </c:pt>
                <c:pt idx="654">
                  <c:v>45133</c:v>
                </c:pt>
                <c:pt idx="655">
                  <c:v>45131</c:v>
                </c:pt>
                <c:pt idx="656">
                  <c:v>45128</c:v>
                </c:pt>
                <c:pt idx="657">
                  <c:v>45127</c:v>
                </c:pt>
                <c:pt idx="658">
                  <c:v>45126</c:v>
                </c:pt>
                <c:pt idx="659">
                  <c:v>45124</c:v>
                </c:pt>
                <c:pt idx="660">
                  <c:v>45121</c:v>
                </c:pt>
                <c:pt idx="661">
                  <c:v>45117</c:v>
                </c:pt>
                <c:pt idx="662">
                  <c:v>45114</c:v>
                </c:pt>
                <c:pt idx="663">
                  <c:v>45107</c:v>
                </c:pt>
                <c:pt idx="664">
                  <c:v>45105</c:v>
                </c:pt>
                <c:pt idx="665">
                  <c:v>45104</c:v>
                </c:pt>
                <c:pt idx="666">
                  <c:v>45103</c:v>
                </c:pt>
                <c:pt idx="667">
                  <c:v>45100</c:v>
                </c:pt>
                <c:pt idx="668">
                  <c:v>45099</c:v>
                </c:pt>
                <c:pt idx="669">
                  <c:v>45098</c:v>
                </c:pt>
                <c:pt idx="670">
                  <c:v>45097</c:v>
                </c:pt>
                <c:pt idx="671">
                  <c:v>45096</c:v>
                </c:pt>
                <c:pt idx="672">
                  <c:v>45093</c:v>
                </c:pt>
                <c:pt idx="673">
                  <c:v>45092</c:v>
                </c:pt>
                <c:pt idx="674">
                  <c:v>45091</c:v>
                </c:pt>
                <c:pt idx="675">
                  <c:v>45090</c:v>
                </c:pt>
                <c:pt idx="676">
                  <c:v>45089</c:v>
                </c:pt>
                <c:pt idx="677">
                  <c:v>45086</c:v>
                </c:pt>
                <c:pt idx="678">
                  <c:v>45085</c:v>
                </c:pt>
                <c:pt idx="679">
                  <c:v>45084</c:v>
                </c:pt>
                <c:pt idx="680">
                  <c:v>45083</c:v>
                </c:pt>
                <c:pt idx="681">
                  <c:v>45082</c:v>
                </c:pt>
                <c:pt idx="682">
                  <c:v>45079</c:v>
                </c:pt>
                <c:pt idx="683">
                  <c:v>45078</c:v>
                </c:pt>
                <c:pt idx="684">
                  <c:v>45077</c:v>
                </c:pt>
                <c:pt idx="685">
                  <c:v>45076</c:v>
                </c:pt>
                <c:pt idx="686">
                  <c:v>45072</c:v>
                </c:pt>
                <c:pt idx="687">
                  <c:v>45071</c:v>
                </c:pt>
                <c:pt idx="688">
                  <c:v>45070</c:v>
                </c:pt>
                <c:pt idx="689">
                  <c:v>45069</c:v>
                </c:pt>
                <c:pt idx="690">
                  <c:v>45068</c:v>
                </c:pt>
                <c:pt idx="691">
                  <c:v>45065</c:v>
                </c:pt>
                <c:pt idx="692">
                  <c:v>45063</c:v>
                </c:pt>
                <c:pt idx="693">
                  <c:v>45062</c:v>
                </c:pt>
                <c:pt idx="694">
                  <c:v>45061</c:v>
                </c:pt>
                <c:pt idx="695">
                  <c:v>45058</c:v>
                </c:pt>
                <c:pt idx="696">
                  <c:v>45057</c:v>
                </c:pt>
                <c:pt idx="697">
                  <c:v>45056</c:v>
                </c:pt>
                <c:pt idx="698">
                  <c:v>45055</c:v>
                </c:pt>
                <c:pt idx="699">
                  <c:v>45054</c:v>
                </c:pt>
                <c:pt idx="700">
                  <c:v>45051</c:v>
                </c:pt>
                <c:pt idx="701">
                  <c:v>45050</c:v>
                </c:pt>
                <c:pt idx="702">
                  <c:v>45049</c:v>
                </c:pt>
                <c:pt idx="703">
                  <c:v>45048</c:v>
                </c:pt>
                <c:pt idx="704">
                  <c:v>45044</c:v>
                </c:pt>
                <c:pt idx="705">
                  <c:v>45043</c:v>
                </c:pt>
                <c:pt idx="706">
                  <c:v>45042</c:v>
                </c:pt>
                <c:pt idx="707">
                  <c:v>45041</c:v>
                </c:pt>
                <c:pt idx="708">
                  <c:v>45040</c:v>
                </c:pt>
                <c:pt idx="709">
                  <c:v>45037</c:v>
                </c:pt>
                <c:pt idx="710">
                  <c:v>45036</c:v>
                </c:pt>
                <c:pt idx="711">
                  <c:v>45035</c:v>
                </c:pt>
                <c:pt idx="712">
                  <c:v>45034</c:v>
                </c:pt>
                <c:pt idx="713">
                  <c:v>45033</c:v>
                </c:pt>
                <c:pt idx="714">
                  <c:v>45029</c:v>
                </c:pt>
                <c:pt idx="715">
                  <c:v>45028</c:v>
                </c:pt>
                <c:pt idx="716">
                  <c:v>45027</c:v>
                </c:pt>
                <c:pt idx="717">
                  <c:v>45026</c:v>
                </c:pt>
                <c:pt idx="718">
                  <c:v>45022</c:v>
                </c:pt>
                <c:pt idx="719">
                  <c:v>45021</c:v>
                </c:pt>
                <c:pt idx="720">
                  <c:v>45019</c:v>
                </c:pt>
                <c:pt idx="721">
                  <c:v>45016</c:v>
                </c:pt>
                <c:pt idx="722">
                  <c:v>45014</c:v>
                </c:pt>
                <c:pt idx="723">
                  <c:v>45013</c:v>
                </c:pt>
                <c:pt idx="724">
                  <c:v>45012</c:v>
                </c:pt>
                <c:pt idx="725">
                  <c:v>45009</c:v>
                </c:pt>
                <c:pt idx="726">
                  <c:v>45008</c:v>
                </c:pt>
                <c:pt idx="727">
                  <c:v>45007</c:v>
                </c:pt>
                <c:pt idx="728">
                  <c:v>45006</c:v>
                </c:pt>
                <c:pt idx="729">
                  <c:v>45005</c:v>
                </c:pt>
                <c:pt idx="730">
                  <c:v>45002</c:v>
                </c:pt>
                <c:pt idx="731">
                  <c:v>45001</c:v>
                </c:pt>
                <c:pt idx="732">
                  <c:v>45000</c:v>
                </c:pt>
                <c:pt idx="733">
                  <c:v>44999</c:v>
                </c:pt>
                <c:pt idx="734">
                  <c:v>44998</c:v>
                </c:pt>
                <c:pt idx="735">
                  <c:v>44995</c:v>
                </c:pt>
                <c:pt idx="736">
                  <c:v>44994</c:v>
                </c:pt>
                <c:pt idx="737">
                  <c:v>44993</c:v>
                </c:pt>
                <c:pt idx="738">
                  <c:v>44991</c:v>
                </c:pt>
                <c:pt idx="739">
                  <c:v>44988</c:v>
                </c:pt>
                <c:pt idx="740">
                  <c:v>44987</c:v>
                </c:pt>
                <c:pt idx="741">
                  <c:v>44986</c:v>
                </c:pt>
                <c:pt idx="742">
                  <c:v>44985</c:v>
                </c:pt>
                <c:pt idx="743">
                  <c:v>44984</c:v>
                </c:pt>
                <c:pt idx="744">
                  <c:v>44981</c:v>
                </c:pt>
                <c:pt idx="745">
                  <c:v>44980</c:v>
                </c:pt>
                <c:pt idx="746">
                  <c:v>44979</c:v>
                </c:pt>
                <c:pt idx="747">
                  <c:v>44978</c:v>
                </c:pt>
                <c:pt idx="748">
                  <c:v>44977</c:v>
                </c:pt>
                <c:pt idx="749">
                  <c:v>44974</c:v>
                </c:pt>
                <c:pt idx="750">
                  <c:v>44973</c:v>
                </c:pt>
                <c:pt idx="751">
                  <c:v>44972</c:v>
                </c:pt>
                <c:pt idx="752">
                  <c:v>44971</c:v>
                </c:pt>
                <c:pt idx="753">
                  <c:v>44970</c:v>
                </c:pt>
                <c:pt idx="754">
                  <c:v>44967</c:v>
                </c:pt>
                <c:pt idx="755">
                  <c:v>44966</c:v>
                </c:pt>
                <c:pt idx="756">
                  <c:v>44965</c:v>
                </c:pt>
                <c:pt idx="757">
                  <c:v>44964</c:v>
                </c:pt>
                <c:pt idx="758">
                  <c:v>44963</c:v>
                </c:pt>
                <c:pt idx="759">
                  <c:v>44960</c:v>
                </c:pt>
                <c:pt idx="760">
                  <c:v>44959</c:v>
                </c:pt>
                <c:pt idx="761">
                  <c:v>44958</c:v>
                </c:pt>
                <c:pt idx="762">
                  <c:v>44957</c:v>
                </c:pt>
                <c:pt idx="763">
                  <c:v>44956</c:v>
                </c:pt>
                <c:pt idx="764">
                  <c:v>44953</c:v>
                </c:pt>
                <c:pt idx="765">
                  <c:v>44951</c:v>
                </c:pt>
                <c:pt idx="766">
                  <c:v>44950</c:v>
                </c:pt>
                <c:pt idx="767">
                  <c:v>44949</c:v>
                </c:pt>
                <c:pt idx="768">
                  <c:v>44946</c:v>
                </c:pt>
                <c:pt idx="769">
                  <c:v>44945</c:v>
                </c:pt>
                <c:pt idx="770">
                  <c:v>44944</c:v>
                </c:pt>
                <c:pt idx="771">
                  <c:v>44943</c:v>
                </c:pt>
                <c:pt idx="772">
                  <c:v>44942</c:v>
                </c:pt>
                <c:pt idx="773">
                  <c:v>44939</c:v>
                </c:pt>
                <c:pt idx="774">
                  <c:v>44938</c:v>
                </c:pt>
                <c:pt idx="775">
                  <c:v>44937</c:v>
                </c:pt>
                <c:pt idx="776">
                  <c:v>44936</c:v>
                </c:pt>
                <c:pt idx="777">
                  <c:v>44935</c:v>
                </c:pt>
                <c:pt idx="778">
                  <c:v>44932</c:v>
                </c:pt>
                <c:pt idx="779">
                  <c:v>44931</c:v>
                </c:pt>
                <c:pt idx="780">
                  <c:v>44930</c:v>
                </c:pt>
                <c:pt idx="781">
                  <c:v>44929</c:v>
                </c:pt>
                <c:pt idx="782">
                  <c:v>44928</c:v>
                </c:pt>
                <c:pt idx="783">
                  <c:v>44925</c:v>
                </c:pt>
                <c:pt idx="784">
                  <c:v>44924</c:v>
                </c:pt>
                <c:pt idx="785">
                  <c:v>44923</c:v>
                </c:pt>
                <c:pt idx="786">
                  <c:v>44922</c:v>
                </c:pt>
                <c:pt idx="787">
                  <c:v>44921</c:v>
                </c:pt>
                <c:pt idx="788">
                  <c:v>44918</c:v>
                </c:pt>
                <c:pt idx="789">
                  <c:v>44917</c:v>
                </c:pt>
                <c:pt idx="790">
                  <c:v>44916</c:v>
                </c:pt>
                <c:pt idx="791">
                  <c:v>44915</c:v>
                </c:pt>
                <c:pt idx="792">
                  <c:v>44914</c:v>
                </c:pt>
                <c:pt idx="793">
                  <c:v>44911</c:v>
                </c:pt>
                <c:pt idx="794">
                  <c:v>44910</c:v>
                </c:pt>
                <c:pt idx="795">
                  <c:v>44909</c:v>
                </c:pt>
                <c:pt idx="796">
                  <c:v>44908</c:v>
                </c:pt>
                <c:pt idx="797">
                  <c:v>44907</c:v>
                </c:pt>
                <c:pt idx="798">
                  <c:v>44904</c:v>
                </c:pt>
                <c:pt idx="799">
                  <c:v>44903</c:v>
                </c:pt>
                <c:pt idx="800">
                  <c:v>44902</c:v>
                </c:pt>
                <c:pt idx="801">
                  <c:v>44901</c:v>
                </c:pt>
                <c:pt idx="802">
                  <c:v>44900</c:v>
                </c:pt>
                <c:pt idx="803">
                  <c:v>44897</c:v>
                </c:pt>
                <c:pt idx="804">
                  <c:v>44896</c:v>
                </c:pt>
                <c:pt idx="805">
                  <c:v>44895</c:v>
                </c:pt>
                <c:pt idx="806">
                  <c:v>44894</c:v>
                </c:pt>
                <c:pt idx="807">
                  <c:v>44893</c:v>
                </c:pt>
                <c:pt idx="808">
                  <c:v>44890</c:v>
                </c:pt>
                <c:pt idx="809">
                  <c:v>44889</c:v>
                </c:pt>
                <c:pt idx="810">
                  <c:v>44888</c:v>
                </c:pt>
                <c:pt idx="811">
                  <c:v>44887</c:v>
                </c:pt>
                <c:pt idx="812">
                  <c:v>44886</c:v>
                </c:pt>
                <c:pt idx="813">
                  <c:v>44883</c:v>
                </c:pt>
                <c:pt idx="814">
                  <c:v>44882</c:v>
                </c:pt>
                <c:pt idx="815">
                  <c:v>44881</c:v>
                </c:pt>
                <c:pt idx="816">
                  <c:v>44880</c:v>
                </c:pt>
                <c:pt idx="817">
                  <c:v>44879</c:v>
                </c:pt>
                <c:pt idx="818">
                  <c:v>44876</c:v>
                </c:pt>
                <c:pt idx="819">
                  <c:v>44875</c:v>
                </c:pt>
                <c:pt idx="820">
                  <c:v>44874</c:v>
                </c:pt>
                <c:pt idx="821">
                  <c:v>44872</c:v>
                </c:pt>
                <c:pt idx="822">
                  <c:v>44869</c:v>
                </c:pt>
                <c:pt idx="823">
                  <c:v>44868</c:v>
                </c:pt>
                <c:pt idx="824">
                  <c:v>44867</c:v>
                </c:pt>
                <c:pt idx="825">
                  <c:v>44866</c:v>
                </c:pt>
                <c:pt idx="826">
                  <c:v>44865</c:v>
                </c:pt>
                <c:pt idx="827">
                  <c:v>44862</c:v>
                </c:pt>
                <c:pt idx="828">
                  <c:v>44861</c:v>
                </c:pt>
                <c:pt idx="829">
                  <c:v>44859</c:v>
                </c:pt>
                <c:pt idx="830">
                  <c:v>44858</c:v>
                </c:pt>
                <c:pt idx="831">
                  <c:v>44855</c:v>
                </c:pt>
                <c:pt idx="832">
                  <c:v>44854</c:v>
                </c:pt>
                <c:pt idx="833">
                  <c:v>44853</c:v>
                </c:pt>
                <c:pt idx="834">
                  <c:v>44852</c:v>
                </c:pt>
                <c:pt idx="835">
                  <c:v>44851</c:v>
                </c:pt>
                <c:pt idx="836">
                  <c:v>44848</c:v>
                </c:pt>
                <c:pt idx="837">
                  <c:v>44847</c:v>
                </c:pt>
                <c:pt idx="838">
                  <c:v>44846</c:v>
                </c:pt>
                <c:pt idx="839">
                  <c:v>44845</c:v>
                </c:pt>
                <c:pt idx="840">
                  <c:v>44844</c:v>
                </c:pt>
                <c:pt idx="841">
                  <c:v>44841</c:v>
                </c:pt>
                <c:pt idx="842">
                  <c:v>44840</c:v>
                </c:pt>
                <c:pt idx="843">
                  <c:v>44838</c:v>
                </c:pt>
                <c:pt idx="844">
                  <c:v>44837</c:v>
                </c:pt>
                <c:pt idx="845">
                  <c:v>44834</c:v>
                </c:pt>
                <c:pt idx="846">
                  <c:v>44833</c:v>
                </c:pt>
                <c:pt idx="847">
                  <c:v>44832</c:v>
                </c:pt>
                <c:pt idx="848">
                  <c:v>44831</c:v>
                </c:pt>
                <c:pt idx="849">
                  <c:v>44830</c:v>
                </c:pt>
                <c:pt idx="850">
                  <c:v>44827</c:v>
                </c:pt>
                <c:pt idx="851">
                  <c:v>44826</c:v>
                </c:pt>
                <c:pt idx="852">
                  <c:v>44825</c:v>
                </c:pt>
                <c:pt idx="853">
                  <c:v>44824</c:v>
                </c:pt>
                <c:pt idx="854">
                  <c:v>44823</c:v>
                </c:pt>
                <c:pt idx="855">
                  <c:v>44820</c:v>
                </c:pt>
                <c:pt idx="856">
                  <c:v>44819</c:v>
                </c:pt>
                <c:pt idx="857">
                  <c:v>44818</c:v>
                </c:pt>
                <c:pt idx="858">
                  <c:v>44817</c:v>
                </c:pt>
                <c:pt idx="859">
                  <c:v>44816</c:v>
                </c:pt>
                <c:pt idx="860">
                  <c:v>44813</c:v>
                </c:pt>
                <c:pt idx="861">
                  <c:v>44812</c:v>
                </c:pt>
                <c:pt idx="862">
                  <c:v>44811</c:v>
                </c:pt>
                <c:pt idx="863">
                  <c:v>44810</c:v>
                </c:pt>
                <c:pt idx="864">
                  <c:v>44809</c:v>
                </c:pt>
                <c:pt idx="865">
                  <c:v>44806</c:v>
                </c:pt>
                <c:pt idx="866">
                  <c:v>44805</c:v>
                </c:pt>
                <c:pt idx="867">
                  <c:v>44803</c:v>
                </c:pt>
                <c:pt idx="868">
                  <c:v>44802</c:v>
                </c:pt>
                <c:pt idx="869">
                  <c:v>44799</c:v>
                </c:pt>
                <c:pt idx="870">
                  <c:v>44798</c:v>
                </c:pt>
                <c:pt idx="871">
                  <c:v>44797</c:v>
                </c:pt>
                <c:pt idx="872">
                  <c:v>44796</c:v>
                </c:pt>
                <c:pt idx="873">
                  <c:v>44795</c:v>
                </c:pt>
                <c:pt idx="874">
                  <c:v>44792</c:v>
                </c:pt>
                <c:pt idx="875">
                  <c:v>44791</c:v>
                </c:pt>
                <c:pt idx="876">
                  <c:v>44790</c:v>
                </c:pt>
                <c:pt idx="877">
                  <c:v>44789</c:v>
                </c:pt>
                <c:pt idx="878">
                  <c:v>44785</c:v>
                </c:pt>
                <c:pt idx="879">
                  <c:v>44784</c:v>
                </c:pt>
                <c:pt idx="880">
                  <c:v>44783</c:v>
                </c:pt>
                <c:pt idx="881">
                  <c:v>44781</c:v>
                </c:pt>
                <c:pt idx="882">
                  <c:v>44778</c:v>
                </c:pt>
                <c:pt idx="883">
                  <c:v>44777</c:v>
                </c:pt>
                <c:pt idx="884">
                  <c:v>44776</c:v>
                </c:pt>
                <c:pt idx="885">
                  <c:v>44775</c:v>
                </c:pt>
                <c:pt idx="886">
                  <c:v>44774</c:v>
                </c:pt>
                <c:pt idx="887">
                  <c:v>44771</c:v>
                </c:pt>
                <c:pt idx="888">
                  <c:v>44770</c:v>
                </c:pt>
                <c:pt idx="889">
                  <c:v>44769</c:v>
                </c:pt>
                <c:pt idx="890">
                  <c:v>44768</c:v>
                </c:pt>
                <c:pt idx="891">
                  <c:v>44767</c:v>
                </c:pt>
                <c:pt idx="892">
                  <c:v>44764</c:v>
                </c:pt>
                <c:pt idx="893">
                  <c:v>44763</c:v>
                </c:pt>
                <c:pt idx="894">
                  <c:v>44762</c:v>
                </c:pt>
                <c:pt idx="895">
                  <c:v>44761</c:v>
                </c:pt>
                <c:pt idx="896">
                  <c:v>44760</c:v>
                </c:pt>
                <c:pt idx="897">
                  <c:v>44757</c:v>
                </c:pt>
                <c:pt idx="898">
                  <c:v>44756</c:v>
                </c:pt>
                <c:pt idx="899">
                  <c:v>44755</c:v>
                </c:pt>
                <c:pt idx="900">
                  <c:v>44754</c:v>
                </c:pt>
                <c:pt idx="901">
                  <c:v>44753</c:v>
                </c:pt>
                <c:pt idx="902">
                  <c:v>44750</c:v>
                </c:pt>
                <c:pt idx="903">
                  <c:v>44749</c:v>
                </c:pt>
                <c:pt idx="904">
                  <c:v>44748</c:v>
                </c:pt>
                <c:pt idx="905">
                  <c:v>44747</c:v>
                </c:pt>
                <c:pt idx="906">
                  <c:v>44746</c:v>
                </c:pt>
                <c:pt idx="907">
                  <c:v>44743</c:v>
                </c:pt>
                <c:pt idx="908">
                  <c:v>44742</c:v>
                </c:pt>
                <c:pt idx="909">
                  <c:v>44741</c:v>
                </c:pt>
                <c:pt idx="910">
                  <c:v>44740</c:v>
                </c:pt>
                <c:pt idx="911">
                  <c:v>44739</c:v>
                </c:pt>
                <c:pt idx="912">
                  <c:v>44736</c:v>
                </c:pt>
                <c:pt idx="913">
                  <c:v>44735</c:v>
                </c:pt>
                <c:pt idx="914">
                  <c:v>44734</c:v>
                </c:pt>
                <c:pt idx="915">
                  <c:v>44733</c:v>
                </c:pt>
                <c:pt idx="916">
                  <c:v>44732</c:v>
                </c:pt>
                <c:pt idx="917">
                  <c:v>44729</c:v>
                </c:pt>
                <c:pt idx="918">
                  <c:v>44728</c:v>
                </c:pt>
                <c:pt idx="919">
                  <c:v>44727</c:v>
                </c:pt>
                <c:pt idx="920">
                  <c:v>44726</c:v>
                </c:pt>
                <c:pt idx="921">
                  <c:v>44725</c:v>
                </c:pt>
                <c:pt idx="922">
                  <c:v>44722</c:v>
                </c:pt>
                <c:pt idx="923">
                  <c:v>44721</c:v>
                </c:pt>
                <c:pt idx="924">
                  <c:v>44720</c:v>
                </c:pt>
                <c:pt idx="925">
                  <c:v>44719</c:v>
                </c:pt>
                <c:pt idx="926">
                  <c:v>44718</c:v>
                </c:pt>
                <c:pt idx="927">
                  <c:v>44715</c:v>
                </c:pt>
                <c:pt idx="928">
                  <c:v>44714</c:v>
                </c:pt>
                <c:pt idx="929">
                  <c:v>44713</c:v>
                </c:pt>
                <c:pt idx="930">
                  <c:v>44712</c:v>
                </c:pt>
                <c:pt idx="931">
                  <c:v>44711</c:v>
                </c:pt>
                <c:pt idx="932">
                  <c:v>44708</c:v>
                </c:pt>
                <c:pt idx="933">
                  <c:v>44707</c:v>
                </c:pt>
                <c:pt idx="934">
                  <c:v>44706</c:v>
                </c:pt>
                <c:pt idx="935">
                  <c:v>44705</c:v>
                </c:pt>
                <c:pt idx="936">
                  <c:v>44704</c:v>
                </c:pt>
                <c:pt idx="937">
                  <c:v>44701</c:v>
                </c:pt>
                <c:pt idx="938">
                  <c:v>44700</c:v>
                </c:pt>
                <c:pt idx="939">
                  <c:v>44699</c:v>
                </c:pt>
                <c:pt idx="940">
                  <c:v>44698</c:v>
                </c:pt>
                <c:pt idx="941">
                  <c:v>44697</c:v>
                </c:pt>
                <c:pt idx="942">
                  <c:v>44694</c:v>
                </c:pt>
                <c:pt idx="943">
                  <c:v>44693</c:v>
                </c:pt>
                <c:pt idx="944">
                  <c:v>44692</c:v>
                </c:pt>
                <c:pt idx="945">
                  <c:v>44691</c:v>
                </c:pt>
                <c:pt idx="946">
                  <c:v>44690</c:v>
                </c:pt>
                <c:pt idx="947">
                  <c:v>44687</c:v>
                </c:pt>
                <c:pt idx="948">
                  <c:v>44686</c:v>
                </c:pt>
                <c:pt idx="949">
                  <c:v>44685</c:v>
                </c:pt>
                <c:pt idx="950">
                  <c:v>44680</c:v>
                </c:pt>
                <c:pt idx="951">
                  <c:v>44679</c:v>
                </c:pt>
                <c:pt idx="952">
                  <c:v>44678</c:v>
                </c:pt>
                <c:pt idx="953">
                  <c:v>44677</c:v>
                </c:pt>
                <c:pt idx="954">
                  <c:v>44676</c:v>
                </c:pt>
                <c:pt idx="955">
                  <c:v>44673</c:v>
                </c:pt>
                <c:pt idx="956">
                  <c:v>44672</c:v>
                </c:pt>
                <c:pt idx="957">
                  <c:v>44671</c:v>
                </c:pt>
                <c:pt idx="958">
                  <c:v>44670</c:v>
                </c:pt>
                <c:pt idx="959">
                  <c:v>44669</c:v>
                </c:pt>
                <c:pt idx="960">
                  <c:v>44664</c:v>
                </c:pt>
                <c:pt idx="961">
                  <c:v>44663</c:v>
                </c:pt>
                <c:pt idx="962">
                  <c:v>44662</c:v>
                </c:pt>
                <c:pt idx="963">
                  <c:v>44659</c:v>
                </c:pt>
                <c:pt idx="964">
                  <c:v>44658</c:v>
                </c:pt>
                <c:pt idx="965">
                  <c:v>44657</c:v>
                </c:pt>
                <c:pt idx="966">
                  <c:v>44656</c:v>
                </c:pt>
                <c:pt idx="967">
                  <c:v>44655</c:v>
                </c:pt>
                <c:pt idx="968">
                  <c:v>44652</c:v>
                </c:pt>
                <c:pt idx="969">
                  <c:v>44651</c:v>
                </c:pt>
                <c:pt idx="970">
                  <c:v>44650</c:v>
                </c:pt>
                <c:pt idx="971">
                  <c:v>44649</c:v>
                </c:pt>
                <c:pt idx="972">
                  <c:v>44648</c:v>
                </c:pt>
                <c:pt idx="973">
                  <c:v>44645</c:v>
                </c:pt>
                <c:pt idx="974">
                  <c:v>44644</c:v>
                </c:pt>
                <c:pt idx="975">
                  <c:v>44643</c:v>
                </c:pt>
                <c:pt idx="976">
                  <c:v>44642</c:v>
                </c:pt>
                <c:pt idx="977">
                  <c:v>44641</c:v>
                </c:pt>
                <c:pt idx="978">
                  <c:v>44637</c:v>
                </c:pt>
                <c:pt idx="979">
                  <c:v>44636</c:v>
                </c:pt>
                <c:pt idx="980">
                  <c:v>44635</c:v>
                </c:pt>
                <c:pt idx="981">
                  <c:v>44634</c:v>
                </c:pt>
                <c:pt idx="982">
                  <c:v>44631</c:v>
                </c:pt>
                <c:pt idx="983">
                  <c:v>44630</c:v>
                </c:pt>
                <c:pt idx="984">
                  <c:v>44629</c:v>
                </c:pt>
                <c:pt idx="985">
                  <c:v>44628</c:v>
                </c:pt>
                <c:pt idx="986">
                  <c:v>44627</c:v>
                </c:pt>
                <c:pt idx="987">
                  <c:v>44624</c:v>
                </c:pt>
                <c:pt idx="988">
                  <c:v>44623</c:v>
                </c:pt>
                <c:pt idx="989">
                  <c:v>44622</c:v>
                </c:pt>
                <c:pt idx="990">
                  <c:v>44620</c:v>
                </c:pt>
                <c:pt idx="991">
                  <c:v>44617</c:v>
                </c:pt>
                <c:pt idx="992">
                  <c:v>44616</c:v>
                </c:pt>
                <c:pt idx="993">
                  <c:v>44615</c:v>
                </c:pt>
                <c:pt idx="994">
                  <c:v>44614</c:v>
                </c:pt>
                <c:pt idx="995">
                  <c:v>44613</c:v>
                </c:pt>
                <c:pt idx="996">
                  <c:v>44610</c:v>
                </c:pt>
                <c:pt idx="997">
                  <c:v>44609</c:v>
                </c:pt>
                <c:pt idx="998">
                  <c:v>44608</c:v>
                </c:pt>
                <c:pt idx="999">
                  <c:v>44607</c:v>
                </c:pt>
                <c:pt idx="1000">
                  <c:v>44603</c:v>
                </c:pt>
                <c:pt idx="1001">
                  <c:v>44602</c:v>
                </c:pt>
                <c:pt idx="1002">
                  <c:v>44601</c:v>
                </c:pt>
                <c:pt idx="1003">
                  <c:v>44600</c:v>
                </c:pt>
                <c:pt idx="1004">
                  <c:v>44599</c:v>
                </c:pt>
                <c:pt idx="1005">
                  <c:v>44596</c:v>
                </c:pt>
                <c:pt idx="1006">
                  <c:v>44595</c:v>
                </c:pt>
                <c:pt idx="1007">
                  <c:v>44594</c:v>
                </c:pt>
                <c:pt idx="1008">
                  <c:v>44593</c:v>
                </c:pt>
                <c:pt idx="1009">
                  <c:v>44592</c:v>
                </c:pt>
                <c:pt idx="1010">
                  <c:v>44589</c:v>
                </c:pt>
                <c:pt idx="1011">
                  <c:v>44588</c:v>
                </c:pt>
                <c:pt idx="1012">
                  <c:v>44586</c:v>
                </c:pt>
                <c:pt idx="1013">
                  <c:v>44585</c:v>
                </c:pt>
                <c:pt idx="1014">
                  <c:v>44582</c:v>
                </c:pt>
                <c:pt idx="1015">
                  <c:v>44581</c:v>
                </c:pt>
                <c:pt idx="1016">
                  <c:v>44580</c:v>
                </c:pt>
                <c:pt idx="1017">
                  <c:v>44579</c:v>
                </c:pt>
                <c:pt idx="1018">
                  <c:v>44578</c:v>
                </c:pt>
                <c:pt idx="1019">
                  <c:v>44575</c:v>
                </c:pt>
                <c:pt idx="1020">
                  <c:v>44574</c:v>
                </c:pt>
                <c:pt idx="1021">
                  <c:v>44573</c:v>
                </c:pt>
                <c:pt idx="1022">
                  <c:v>44572</c:v>
                </c:pt>
                <c:pt idx="1023">
                  <c:v>44571</c:v>
                </c:pt>
                <c:pt idx="1024">
                  <c:v>44568</c:v>
                </c:pt>
                <c:pt idx="1025">
                  <c:v>44567</c:v>
                </c:pt>
                <c:pt idx="1026">
                  <c:v>44566</c:v>
                </c:pt>
                <c:pt idx="1027">
                  <c:v>44565</c:v>
                </c:pt>
                <c:pt idx="1028">
                  <c:v>44564</c:v>
                </c:pt>
                <c:pt idx="1029">
                  <c:v>44561</c:v>
                </c:pt>
                <c:pt idx="1030">
                  <c:v>44560</c:v>
                </c:pt>
                <c:pt idx="1031">
                  <c:v>44559</c:v>
                </c:pt>
                <c:pt idx="1032">
                  <c:v>44558</c:v>
                </c:pt>
                <c:pt idx="1033">
                  <c:v>44557</c:v>
                </c:pt>
                <c:pt idx="1034">
                  <c:v>44554</c:v>
                </c:pt>
                <c:pt idx="1035">
                  <c:v>44553</c:v>
                </c:pt>
                <c:pt idx="1036">
                  <c:v>44552</c:v>
                </c:pt>
                <c:pt idx="1037">
                  <c:v>44551</c:v>
                </c:pt>
                <c:pt idx="1038">
                  <c:v>44550</c:v>
                </c:pt>
                <c:pt idx="1039">
                  <c:v>44547</c:v>
                </c:pt>
                <c:pt idx="1040">
                  <c:v>44546</c:v>
                </c:pt>
                <c:pt idx="1041">
                  <c:v>44545</c:v>
                </c:pt>
                <c:pt idx="1042">
                  <c:v>44544</c:v>
                </c:pt>
                <c:pt idx="1043">
                  <c:v>44543</c:v>
                </c:pt>
                <c:pt idx="1044">
                  <c:v>44540</c:v>
                </c:pt>
                <c:pt idx="1045">
                  <c:v>44539</c:v>
                </c:pt>
                <c:pt idx="1046">
                  <c:v>44538</c:v>
                </c:pt>
                <c:pt idx="1047">
                  <c:v>44537</c:v>
                </c:pt>
                <c:pt idx="1048">
                  <c:v>44536</c:v>
                </c:pt>
                <c:pt idx="1049">
                  <c:v>44533</c:v>
                </c:pt>
                <c:pt idx="1050">
                  <c:v>44532</c:v>
                </c:pt>
                <c:pt idx="1051">
                  <c:v>44531</c:v>
                </c:pt>
                <c:pt idx="1052">
                  <c:v>44530</c:v>
                </c:pt>
                <c:pt idx="1053">
                  <c:v>44529</c:v>
                </c:pt>
                <c:pt idx="1054">
                  <c:v>44526</c:v>
                </c:pt>
                <c:pt idx="1055">
                  <c:v>44525</c:v>
                </c:pt>
                <c:pt idx="1056">
                  <c:v>44524</c:v>
                </c:pt>
                <c:pt idx="1057">
                  <c:v>44523</c:v>
                </c:pt>
                <c:pt idx="1058">
                  <c:v>44522</c:v>
                </c:pt>
                <c:pt idx="1059">
                  <c:v>44518</c:v>
                </c:pt>
                <c:pt idx="1060">
                  <c:v>44517</c:v>
                </c:pt>
                <c:pt idx="1061">
                  <c:v>44516</c:v>
                </c:pt>
                <c:pt idx="1062">
                  <c:v>44515</c:v>
                </c:pt>
                <c:pt idx="1063">
                  <c:v>44512</c:v>
                </c:pt>
                <c:pt idx="1064">
                  <c:v>44511</c:v>
                </c:pt>
                <c:pt idx="1065">
                  <c:v>44510</c:v>
                </c:pt>
                <c:pt idx="1066">
                  <c:v>44509</c:v>
                </c:pt>
                <c:pt idx="1067">
                  <c:v>44508</c:v>
                </c:pt>
                <c:pt idx="1068">
                  <c:v>44504</c:v>
                </c:pt>
                <c:pt idx="1069">
                  <c:v>44503</c:v>
                </c:pt>
                <c:pt idx="1070">
                  <c:v>44502</c:v>
                </c:pt>
                <c:pt idx="1071">
                  <c:v>44501</c:v>
                </c:pt>
                <c:pt idx="1072">
                  <c:v>44498</c:v>
                </c:pt>
                <c:pt idx="1073">
                  <c:v>44497</c:v>
                </c:pt>
                <c:pt idx="1074">
                  <c:v>44496</c:v>
                </c:pt>
                <c:pt idx="1075">
                  <c:v>44495</c:v>
                </c:pt>
                <c:pt idx="1076">
                  <c:v>44494</c:v>
                </c:pt>
                <c:pt idx="1077">
                  <c:v>44491</c:v>
                </c:pt>
                <c:pt idx="1078">
                  <c:v>44490</c:v>
                </c:pt>
                <c:pt idx="1079">
                  <c:v>44489</c:v>
                </c:pt>
                <c:pt idx="1080">
                  <c:v>44488</c:v>
                </c:pt>
                <c:pt idx="1081">
                  <c:v>44487</c:v>
                </c:pt>
                <c:pt idx="1082">
                  <c:v>44483</c:v>
                </c:pt>
                <c:pt idx="1083">
                  <c:v>44482</c:v>
                </c:pt>
                <c:pt idx="1084">
                  <c:v>44481</c:v>
                </c:pt>
                <c:pt idx="1085">
                  <c:v>44480</c:v>
                </c:pt>
                <c:pt idx="1086">
                  <c:v>44477</c:v>
                </c:pt>
                <c:pt idx="1087">
                  <c:v>44476</c:v>
                </c:pt>
                <c:pt idx="1088">
                  <c:v>44475</c:v>
                </c:pt>
                <c:pt idx="1089">
                  <c:v>44474</c:v>
                </c:pt>
                <c:pt idx="1090">
                  <c:v>44473</c:v>
                </c:pt>
                <c:pt idx="1091">
                  <c:v>44470</c:v>
                </c:pt>
                <c:pt idx="1092">
                  <c:v>44469</c:v>
                </c:pt>
                <c:pt idx="1093">
                  <c:v>44468</c:v>
                </c:pt>
                <c:pt idx="1094">
                  <c:v>44467</c:v>
                </c:pt>
                <c:pt idx="1095">
                  <c:v>44466</c:v>
                </c:pt>
                <c:pt idx="1096">
                  <c:v>44463</c:v>
                </c:pt>
                <c:pt idx="1097">
                  <c:v>44462</c:v>
                </c:pt>
                <c:pt idx="1098">
                  <c:v>44461</c:v>
                </c:pt>
                <c:pt idx="1099">
                  <c:v>44460</c:v>
                </c:pt>
                <c:pt idx="1100">
                  <c:v>44459</c:v>
                </c:pt>
                <c:pt idx="1101">
                  <c:v>44456</c:v>
                </c:pt>
                <c:pt idx="1102">
                  <c:v>44455</c:v>
                </c:pt>
                <c:pt idx="1103">
                  <c:v>44454</c:v>
                </c:pt>
                <c:pt idx="1104">
                  <c:v>44453</c:v>
                </c:pt>
                <c:pt idx="1105">
                  <c:v>44452</c:v>
                </c:pt>
                <c:pt idx="1106">
                  <c:v>44448</c:v>
                </c:pt>
                <c:pt idx="1107">
                  <c:v>44447</c:v>
                </c:pt>
                <c:pt idx="1108">
                  <c:v>44446</c:v>
                </c:pt>
                <c:pt idx="1109">
                  <c:v>44445</c:v>
                </c:pt>
                <c:pt idx="1110">
                  <c:v>44442</c:v>
                </c:pt>
                <c:pt idx="1111">
                  <c:v>44441</c:v>
                </c:pt>
                <c:pt idx="1112">
                  <c:v>44440</c:v>
                </c:pt>
                <c:pt idx="1113">
                  <c:v>44439</c:v>
                </c:pt>
                <c:pt idx="1114">
                  <c:v>44438</c:v>
                </c:pt>
                <c:pt idx="1115">
                  <c:v>44435</c:v>
                </c:pt>
                <c:pt idx="1116">
                  <c:v>44434</c:v>
                </c:pt>
                <c:pt idx="1117">
                  <c:v>44433</c:v>
                </c:pt>
                <c:pt idx="1118">
                  <c:v>44432</c:v>
                </c:pt>
                <c:pt idx="1119">
                  <c:v>44431</c:v>
                </c:pt>
                <c:pt idx="1120">
                  <c:v>44428</c:v>
                </c:pt>
                <c:pt idx="1121">
                  <c:v>44426</c:v>
                </c:pt>
                <c:pt idx="1122">
                  <c:v>44425</c:v>
                </c:pt>
                <c:pt idx="1123">
                  <c:v>44424</c:v>
                </c:pt>
                <c:pt idx="1124">
                  <c:v>44421</c:v>
                </c:pt>
                <c:pt idx="1125">
                  <c:v>44420</c:v>
                </c:pt>
                <c:pt idx="1126">
                  <c:v>44419</c:v>
                </c:pt>
                <c:pt idx="1127">
                  <c:v>44418</c:v>
                </c:pt>
                <c:pt idx="1128">
                  <c:v>44417</c:v>
                </c:pt>
                <c:pt idx="1129">
                  <c:v>44414</c:v>
                </c:pt>
                <c:pt idx="1130">
                  <c:v>44413</c:v>
                </c:pt>
                <c:pt idx="1131">
                  <c:v>44412</c:v>
                </c:pt>
                <c:pt idx="1132">
                  <c:v>44411</c:v>
                </c:pt>
                <c:pt idx="1133">
                  <c:v>44410</c:v>
                </c:pt>
                <c:pt idx="1134">
                  <c:v>44407</c:v>
                </c:pt>
                <c:pt idx="1135">
                  <c:v>44406</c:v>
                </c:pt>
                <c:pt idx="1136">
                  <c:v>44405</c:v>
                </c:pt>
                <c:pt idx="1137">
                  <c:v>44404</c:v>
                </c:pt>
                <c:pt idx="1138">
                  <c:v>44403</c:v>
                </c:pt>
                <c:pt idx="1139">
                  <c:v>44400</c:v>
                </c:pt>
                <c:pt idx="1140">
                  <c:v>44399</c:v>
                </c:pt>
                <c:pt idx="1141">
                  <c:v>44397</c:v>
                </c:pt>
                <c:pt idx="1142">
                  <c:v>44396</c:v>
                </c:pt>
                <c:pt idx="1143">
                  <c:v>44393</c:v>
                </c:pt>
                <c:pt idx="1144">
                  <c:v>44392</c:v>
                </c:pt>
                <c:pt idx="1145">
                  <c:v>44391</c:v>
                </c:pt>
                <c:pt idx="1146">
                  <c:v>44390</c:v>
                </c:pt>
                <c:pt idx="1147">
                  <c:v>44389</c:v>
                </c:pt>
                <c:pt idx="1148">
                  <c:v>44386</c:v>
                </c:pt>
                <c:pt idx="1149">
                  <c:v>44385</c:v>
                </c:pt>
                <c:pt idx="1150">
                  <c:v>44384</c:v>
                </c:pt>
                <c:pt idx="1151">
                  <c:v>44383</c:v>
                </c:pt>
                <c:pt idx="1152">
                  <c:v>44382</c:v>
                </c:pt>
                <c:pt idx="1153">
                  <c:v>44379</c:v>
                </c:pt>
                <c:pt idx="1154">
                  <c:v>44378</c:v>
                </c:pt>
                <c:pt idx="1155">
                  <c:v>44377</c:v>
                </c:pt>
                <c:pt idx="1156">
                  <c:v>44376</c:v>
                </c:pt>
                <c:pt idx="1157">
                  <c:v>44375</c:v>
                </c:pt>
                <c:pt idx="1158">
                  <c:v>44372</c:v>
                </c:pt>
                <c:pt idx="1159">
                  <c:v>44371</c:v>
                </c:pt>
                <c:pt idx="1160">
                  <c:v>44370</c:v>
                </c:pt>
                <c:pt idx="1161">
                  <c:v>44369</c:v>
                </c:pt>
                <c:pt idx="1162">
                  <c:v>44368</c:v>
                </c:pt>
                <c:pt idx="1163">
                  <c:v>44365</c:v>
                </c:pt>
                <c:pt idx="1164">
                  <c:v>44364</c:v>
                </c:pt>
                <c:pt idx="1165">
                  <c:v>44363</c:v>
                </c:pt>
                <c:pt idx="1166">
                  <c:v>44362</c:v>
                </c:pt>
                <c:pt idx="1167">
                  <c:v>44361</c:v>
                </c:pt>
                <c:pt idx="1168">
                  <c:v>44358</c:v>
                </c:pt>
                <c:pt idx="1169">
                  <c:v>44357</c:v>
                </c:pt>
                <c:pt idx="1170">
                  <c:v>44356</c:v>
                </c:pt>
                <c:pt idx="1171">
                  <c:v>44355</c:v>
                </c:pt>
                <c:pt idx="1172">
                  <c:v>44354</c:v>
                </c:pt>
                <c:pt idx="1173">
                  <c:v>44351</c:v>
                </c:pt>
                <c:pt idx="1174">
                  <c:v>44350</c:v>
                </c:pt>
                <c:pt idx="1175">
                  <c:v>44349</c:v>
                </c:pt>
                <c:pt idx="1176">
                  <c:v>44348</c:v>
                </c:pt>
                <c:pt idx="1177">
                  <c:v>44347</c:v>
                </c:pt>
                <c:pt idx="1178">
                  <c:v>44344</c:v>
                </c:pt>
                <c:pt idx="1179">
                  <c:v>44343</c:v>
                </c:pt>
                <c:pt idx="1180">
                  <c:v>44342</c:v>
                </c:pt>
                <c:pt idx="1181">
                  <c:v>44341</c:v>
                </c:pt>
                <c:pt idx="1182">
                  <c:v>44340</c:v>
                </c:pt>
                <c:pt idx="1183">
                  <c:v>44337</c:v>
                </c:pt>
                <c:pt idx="1184">
                  <c:v>44336</c:v>
                </c:pt>
                <c:pt idx="1185">
                  <c:v>44335</c:v>
                </c:pt>
                <c:pt idx="1186">
                  <c:v>44334</c:v>
                </c:pt>
                <c:pt idx="1187">
                  <c:v>44333</c:v>
                </c:pt>
                <c:pt idx="1188">
                  <c:v>44330</c:v>
                </c:pt>
                <c:pt idx="1189">
                  <c:v>44328</c:v>
                </c:pt>
                <c:pt idx="1190">
                  <c:v>44327</c:v>
                </c:pt>
                <c:pt idx="1191">
                  <c:v>44326</c:v>
                </c:pt>
                <c:pt idx="1192">
                  <c:v>44323</c:v>
                </c:pt>
                <c:pt idx="1193">
                  <c:v>44322</c:v>
                </c:pt>
                <c:pt idx="1194">
                  <c:v>44321</c:v>
                </c:pt>
                <c:pt idx="1195">
                  <c:v>44320</c:v>
                </c:pt>
                <c:pt idx="1196">
                  <c:v>44319</c:v>
                </c:pt>
                <c:pt idx="1197">
                  <c:v>44316</c:v>
                </c:pt>
                <c:pt idx="1198">
                  <c:v>44315</c:v>
                </c:pt>
                <c:pt idx="1199">
                  <c:v>44314</c:v>
                </c:pt>
                <c:pt idx="1200">
                  <c:v>44313</c:v>
                </c:pt>
                <c:pt idx="1201">
                  <c:v>44312</c:v>
                </c:pt>
                <c:pt idx="1202">
                  <c:v>44309</c:v>
                </c:pt>
                <c:pt idx="1203">
                  <c:v>44308</c:v>
                </c:pt>
                <c:pt idx="1204">
                  <c:v>44306</c:v>
                </c:pt>
                <c:pt idx="1205">
                  <c:v>44305</c:v>
                </c:pt>
                <c:pt idx="1206">
                  <c:v>44302</c:v>
                </c:pt>
                <c:pt idx="1207">
                  <c:v>44301</c:v>
                </c:pt>
                <c:pt idx="1208">
                  <c:v>44299</c:v>
                </c:pt>
                <c:pt idx="1209">
                  <c:v>44298</c:v>
                </c:pt>
                <c:pt idx="1210">
                  <c:v>44295</c:v>
                </c:pt>
                <c:pt idx="1211">
                  <c:v>44294</c:v>
                </c:pt>
                <c:pt idx="1212">
                  <c:v>44293</c:v>
                </c:pt>
                <c:pt idx="1213">
                  <c:v>44292</c:v>
                </c:pt>
                <c:pt idx="1214">
                  <c:v>44291</c:v>
                </c:pt>
              </c:numCache>
            </c:numRef>
          </c:cat>
          <c:val>
            <c:numRef>
              <c:f>Input!$D$11:$D$1225</c:f>
              <c:numCache>
                <c:formatCode>#,##0.0</c:formatCode>
                <c:ptCount val="1215"/>
                <c:pt idx="0">
                  <c:v>12632.25</c:v>
                </c:pt>
                <c:pt idx="1">
                  <c:v>12508.3</c:v>
                </c:pt>
                <c:pt idx="2">
                  <c:v>12298.8</c:v>
                </c:pt>
                <c:pt idx="3">
                  <c:v>12387.9</c:v>
                </c:pt>
                <c:pt idx="4">
                  <c:v>12704.3</c:v>
                </c:pt>
                <c:pt idx="5">
                  <c:v>12467.5</c:v>
                </c:pt>
                <c:pt idx="6">
                  <c:v>12354.05</c:v>
                </c:pt>
                <c:pt idx="7">
                  <c:v>12591.45</c:v>
                </c:pt>
                <c:pt idx="8">
                  <c:v>13054.65</c:v>
                </c:pt>
                <c:pt idx="9">
                  <c:v>12602.65</c:v>
                </c:pt>
                <c:pt idx="12">
                  <c:v>12993.55</c:v>
                </c:pt>
                <c:pt idx="13">
                  <c:v>12753.3</c:v>
                </c:pt>
                <c:pt idx="14">
                  <c:v>12588.45</c:v>
                </c:pt>
                <c:pt idx="15">
                  <c:v>13016.1</c:v>
                </c:pt>
                <c:pt idx="16">
                  <c:v>13870.05</c:v>
                </c:pt>
                <c:pt idx="17">
                  <c:v>13504.45</c:v>
                </c:pt>
                <c:pt idx="18">
                  <c:v>14149.15</c:v>
                </c:pt>
                <c:pt idx="19">
                  <c:v>14416.35</c:v>
                </c:pt>
                <c:pt idx="20">
                  <c:v>14152.45</c:v>
                </c:pt>
                <c:pt idx="21">
                  <c:v>14380.6</c:v>
                </c:pt>
                <c:pt idx="22">
                  <c:v>14869.55</c:v>
                </c:pt>
                <c:pt idx="23">
                  <c:v>15213.05</c:v>
                </c:pt>
                <c:pt idx="24">
                  <c:v>15060.1</c:v>
                </c:pt>
                <c:pt idx="25">
                  <c:v>14924.4</c:v>
                </c:pt>
                <c:pt idx="26">
                  <c:v>15067.7</c:v>
                </c:pt>
                <c:pt idx="27">
                  <c:v>14987.55</c:v>
                </c:pt>
                <c:pt idx="28">
                  <c:v>14904</c:v>
                </c:pt>
                <c:pt idx="29">
                  <c:v>15167.1</c:v>
                </c:pt>
                <c:pt idx="30">
                  <c:v>15180.3</c:v>
                </c:pt>
                <c:pt idx="31">
                  <c:v>15049.65</c:v>
                </c:pt>
                <c:pt idx="32">
                  <c:v>15227.4</c:v>
                </c:pt>
                <c:pt idx="33">
                  <c:v>15323.75</c:v>
                </c:pt>
                <c:pt idx="34">
                  <c:v>15412.75</c:v>
                </c:pt>
                <c:pt idx="35">
                  <c:v>15154.95</c:v>
                </c:pt>
                <c:pt idx="36">
                  <c:v>14979.5</c:v>
                </c:pt>
                <c:pt idx="37">
                  <c:v>15001.4</c:v>
                </c:pt>
                <c:pt idx="38">
                  <c:v>15051.2</c:v>
                </c:pt>
                <c:pt idx="39">
                  <c:v>15077.5</c:v>
                </c:pt>
                <c:pt idx="40">
                  <c:v>14779.6</c:v>
                </c:pt>
                <c:pt idx="41">
                  <c:v>14387.05</c:v>
                </c:pt>
                <c:pt idx="42">
                  <c:v>14601.55</c:v>
                </c:pt>
                <c:pt idx="43">
                  <c:v>14499.5</c:v>
                </c:pt>
                <c:pt idx="44">
                  <c:v>14876.8</c:v>
                </c:pt>
                <c:pt idx="45">
                  <c:v>15240.95</c:v>
                </c:pt>
                <c:pt idx="46">
                  <c:v>15469.6</c:v>
                </c:pt>
                <c:pt idx="47">
                  <c:v>15764</c:v>
                </c:pt>
                <c:pt idx="48">
                  <c:v>15769.1</c:v>
                </c:pt>
                <c:pt idx="49">
                  <c:v>15881.1</c:v>
                </c:pt>
                <c:pt idx="50">
                  <c:v>16179.75</c:v>
                </c:pt>
                <c:pt idx="51">
                  <c:v>15856.55</c:v>
                </c:pt>
                <c:pt idx="52">
                  <c:v>16144.05</c:v>
                </c:pt>
                <c:pt idx="53">
                  <c:v>16425.8</c:v>
                </c:pt>
                <c:pt idx="54">
                  <c:v>16588.849999999999</c:v>
                </c:pt>
                <c:pt idx="55">
                  <c:v>16501</c:v>
                </c:pt>
                <c:pt idx="56">
                  <c:v>16663.8</c:v>
                </c:pt>
                <c:pt idx="57">
                  <c:v>16803.8</c:v>
                </c:pt>
                <c:pt idx="58">
                  <c:v>17294.95</c:v>
                </c:pt>
                <c:pt idx="59">
                  <c:v>17154.099999999999</c:v>
                </c:pt>
                <c:pt idx="60">
                  <c:v>16960.25</c:v>
                </c:pt>
                <c:pt idx="61">
                  <c:v>16715.2</c:v>
                </c:pt>
                <c:pt idx="62">
                  <c:v>16704.25</c:v>
                </c:pt>
                <c:pt idx="63">
                  <c:v>16603.900000000001</c:v>
                </c:pt>
                <c:pt idx="64">
                  <c:v>16560.150000000001</c:v>
                </c:pt>
                <c:pt idx="65">
                  <c:v>16589.8</c:v>
                </c:pt>
                <c:pt idx="66">
                  <c:v>16707.900000000001</c:v>
                </c:pt>
                <c:pt idx="67">
                  <c:v>16577.150000000001</c:v>
                </c:pt>
                <c:pt idx="68">
                  <c:v>16641.25</c:v>
                </c:pt>
                <c:pt idx="69">
                  <c:v>16425.2</c:v>
                </c:pt>
                <c:pt idx="70">
                  <c:v>16337.2</c:v>
                </c:pt>
                <c:pt idx="71">
                  <c:v>16393.400000000001</c:v>
                </c:pt>
                <c:pt idx="72">
                  <c:v>16349.95</c:v>
                </c:pt>
                <c:pt idx="73">
                  <c:v>16403.150000000001</c:v>
                </c:pt>
                <c:pt idx="74">
                  <c:v>16520.900000000001</c:v>
                </c:pt>
                <c:pt idx="75">
                  <c:v>16262.75</c:v>
                </c:pt>
                <c:pt idx="76">
                  <c:v>16003.75</c:v>
                </c:pt>
                <c:pt idx="77">
                  <c:v>16012.3</c:v>
                </c:pt>
                <c:pt idx="78">
                  <c:v>16182.2</c:v>
                </c:pt>
                <c:pt idx="79">
                  <c:v>16277.3</c:v>
                </c:pt>
                <c:pt idx="80">
                  <c:v>15997.2</c:v>
                </c:pt>
                <c:pt idx="81">
                  <c:v>16083.75</c:v>
                </c:pt>
                <c:pt idx="82">
                  <c:v>16240.9</c:v>
                </c:pt>
                <c:pt idx="83">
                  <c:v>16116</c:v>
                </c:pt>
                <c:pt idx="84">
                  <c:v>15894.1</c:v>
                </c:pt>
                <c:pt idx="85">
                  <c:v>15902.6</c:v>
                </c:pt>
                <c:pt idx="86">
                  <c:v>16154.55</c:v>
                </c:pt>
                <c:pt idx="87">
                  <c:v>15882.95</c:v>
                </c:pt>
                <c:pt idx="88">
                  <c:v>15958.35</c:v>
                </c:pt>
                <c:pt idx="89">
                  <c:v>15980.25</c:v>
                </c:pt>
                <c:pt idx="90">
                  <c:v>15799.4</c:v>
                </c:pt>
                <c:pt idx="91">
                  <c:v>15759</c:v>
                </c:pt>
                <c:pt idx="92">
                  <c:v>15928.85</c:v>
                </c:pt>
                <c:pt idx="93">
                  <c:v>15879.45</c:v>
                </c:pt>
                <c:pt idx="94">
                  <c:v>15678.55</c:v>
                </c:pt>
                <c:pt idx="95">
                  <c:v>15755.5</c:v>
                </c:pt>
                <c:pt idx="96">
                  <c:v>15687.1</c:v>
                </c:pt>
                <c:pt idx="97">
                  <c:v>15638.6</c:v>
                </c:pt>
                <c:pt idx="98">
                  <c:v>15582.3</c:v>
                </c:pt>
                <c:pt idx="99">
                  <c:v>15478.1</c:v>
                </c:pt>
                <c:pt idx="100">
                  <c:v>15453.45</c:v>
                </c:pt>
                <c:pt idx="101">
                  <c:v>15370.45</c:v>
                </c:pt>
                <c:pt idx="102">
                  <c:v>15646.15</c:v>
                </c:pt>
                <c:pt idx="103">
                  <c:v>16191.9</c:v>
                </c:pt>
                <c:pt idx="104">
                  <c:v>16205.6</c:v>
                </c:pt>
                <c:pt idx="105">
                  <c:v>16143.65</c:v>
                </c:pt>
                <c:pt idx="106">
                  <c:v>16313.75</c:v>
                </c:pt>
                <c:pt idx="107">
                  <c:v>16383.8</c:v>
                </c:pt>
                <c:pt idx="108">
                  <c:v>16263.35</c:v>
                </c:pt>
                <c:pt idx="109">
                  <c:v>16383.3</c:v>
                </c:pt>
                <c:pt idx="110">
                  <c:v>16389.5</c:v>
                </c:pt>
                <c:pt idx="111">
                  <c:v>16432.599999999999</c:v>
                </c:pt>
                <c:pt idx="112">
                  <c:v>16399.900000000001</c:v>
                </c:pt>
                <c:pt idx="113">
                  <c:v>16295.5</c:v>
                </c:pt>
                <c:pt idx="114">
                  <c:v>16219.6</c:v>
                </c:pt>
                <c:pt idx="115">
                  <c:v>16255.25</c:v>
                </c:pt>
                <c:pt idx="116">
                  <c:v>16315.4</c:v>
                </c:pt>
                <c:pt idx="117">
                  <c:v>16276.05</c:v>
                </c:pt>
                <c:pt idx="118">
                  <c:v>15976.5</c:v>
                </c:pt>
                <c:pt idx="119">
                  <c:v>16010.65</c:v>
                </c:pt>
                <c:pt idx="120">
                  <c:v>16107</c:v>
                </c:pt>
                <c:pt idx="121">
                  <c:v>16004.35</c:v>
                </c:pt>
                <c:pt idx="122">
                  <c:v>15805.45</c:v>
                </c:pt>
                <c:pt idx="123">
                  <c:v>15971.2</c:v>
                </c:pt>
                <c:pt idx="124">
                  <c:v>16028.55</c:v>
                </c:pt>
                <c:pt idx="125">
                  <c:v>15998.05</c:v>
                </c:pt>
                <c:pt idx="126">
                  <c:v>16266.7</c:v>
                </c:pt>
                <c:pt idx="127">
                  <c:v>16270.45</c:v>
                </c:pt>
                <c:pt idx="128">
                  <c:v>16246.5</c:v>
                </c:pt>
                <c:pt idx="129">
                  <c:v>16097.95</c:v>
                </c:pt>
                <c:pt idx="130">
                  <c:v>15808.35</c:v>
                </c:pt>
                <c:pt idx="131">
                  <c:v>15870.9</c:v>
                </c:pt>
                <c:pt idx="132">
                  <c:v>15818.65</c:v>
                </c:pt>
                <c:pt idx="133">
                  <c:v>15800.3</c:v>
                </c:pt>
                <c:pt idx="134">
                  <c:v>15571.35</c:v>
                </c:pt>
                <c:pt idx="135">
                  <c:v>15263.15</c:v>
                </c:pt>
                <c:pt idx="136">
                  <c:v>15324.9</c:v>
                </c:pt>
                <c:pt idx="137">
                  <c:v>15096.35</c:v>
                </c:pt>
                <c:pt idx="138">
                  <c:v>15123.4</c:v>
                </c:pt>
                <c:pt idx="139">
                  <c:v>15361.4</c:v>
                </c:pt>
                <c:pt idx="140">
                  <c:v>15258.1</c:v>
                </c:pt>
                <c:pt idx="141">
                  <c:v>14904.5</c:v>
                </c:pt>
                <c:pt idx="142">
                  <c:v>14655.65</c:v>
                </c:pt>
                <c:pt idx="143">
                  <c:v>14921</c:v>
                </c:pt>
                <c:pt idx="144">
                  <c:v>14846.45</c:v>
                </c:pt>
                <c:pt idx="145">
                  <c:v>14880.05</c:v>
                </c:pt>
                <c:pt idx="146">
                  <c:v>14789.95</c:v>
                </c:pt>
                <c:pt idx="147">
                  <c:v>14760.6</c:v>
                </c:pt>
                <c:pt idx="148">
                  <c:v>14711.3</c:v>
                </c:pt>
                <c:pt idx="149">
                  <c:v>14458.15</c:v>
                </c:pt>
                <c:pt idx="150">
                  <c:v>14351.05</c:v>
                </c:pt>
                <c:pt idx="151">
                  <c:v>14282.4</c:v>
                </c:pt>
                <c:pt idx="152">
                  <c:v>14211.75</c:v>
                </c:pt>
                <c:pt idx="153">
                  <c:v>14248.5</c:v>
                </c:pt>
                <c:pt idx="154">
                  <c:v>14075.3</c:v>
                </c:pt>
                <c:pt idx="155">
                  <c:v>12920.45</c:v>
                </c:pt>
                <c:pt idx="156">
                  <c:v>12830.7</c:v>
                </c:pt>
                <c:pt idx="157">
                  <c:v>12837.85</c:v>
                </c:pt>
                <c:pt idx="158">
                  <c:v>12583.8</c:v>
                </c:pt>
                <c:pt idx="159">
                  <c:v>12578.9</c:v>
                </c:pt>
                <c:pt idx="160">
                  <c:v>12625.6</c:v>
                </c:pt>
                <c:pt idx="161">
                  <c:v>12525.15</c:v>
                </c:pt>
                <c:pt idx="162">
                  <c:v>12524.5</c:v>
                </c:pt>
                <c:pt idx="163">
                  <c:v>12363.85</c:v>
                </c:pt>
                <c:pt idx="164">
                  <c:v>12299.35</c:v>
                </c:pt>
                <c:pt idx="165">
                  <c:v>12499.45</c:v>
                </c:pt>
                <c:pt idx="166">
                  <c:v>12487.48</c:v>
                </c:pt>
                <c:pt idx="167">
                  <c:v>12341.01</c:v>
                </c:pt>
                <c:pt idx="168">
                  <c:v>12204.19</c:v>
                </c:pt>
                <c:pt idx="169">
                  <c:v>12267.75</c:v>
                </c:pt>
                <c:pt idx="170">
                  <c:v>12419.96</c:v>
                </c:pt>
                <c:pt idx="171">
                  <c:v>12490.6</c:v>
                </c:pt>
                <c:pt idx="172">
                  <c:v>12363.57</c:v>
                </c:pt>
                <c:pt idx="173">
                  <c:v>12269.78</c:v>
                </c:pt>
                <c:pt idx="174">
                  <c:v>12289.96</c:v>
                </c:pt>
                <c:pt idx="175">
                  <c:v>12344.77</c:v>
                </c:pt>
                <c:pt idx="176">
                  <c:v>12431.33</c:v>
                </c:pt>
                <c:pt idx="177">
                  <c:v>12401.01</c:v>
                </c:pt>
                <c:pt idx="178">
                  <c:v>12381.77</c:v>
                </c:pt>
                <c:pt idx="179">
                  <c:v>12443.11</c:v>
                </c:pt>
                <c:pt idx="180">
                  <c:v>12512.76</c:v>
                </c:pt>
                <c:pt idx="181">
                  <c:v>12335.37</c:v>
                </c:pt>
                <c:pt idx="182">
                  <c:v>12287.14</c:v>
                </c:pt>
                <c:pt idx="183">
                  <c:v>12387.16</c:v>
                </c:pt>
                <c:pt idx="184">
                  <c:v>12513.6</c:v>
                </c:pt>
                <c:pt idx="185">
                  <c:v>12616.19</c:v>
                </c:pt>
                <c:pt idx="186">
                  <c:v>12489.66</c:v>
                </c:pt>
                <c:pt idx="187">
                  <c:v>12310.09</c:v>
                </c:pt>
                <c:pt idx="188">
                  <c:v>12266.47</c:v>
                </c:pt>
                <c:pt idx="189">
                  <c:v>12509.79</c:v>
                </c:pt>
                <c:pt idx="190">
                  <c:v>12580.57</c:v>
                </c:pt>
                <c:pt idx="191">
                  <c:v>12629.94</c:v>
                </c:pt>
                <c:pt idx="192">
                  <c:v>12475.76</c:v>
                </c:pt>
                <c:pt idx="193">
                  <c:v>12566.38</c:v>
                </c:pt>
                <c:pt idx="194">
                  <c:v>12669.32</c:v>
                </c:pt>
                <c:pt idx="195">
                  <c:v>12669.32</c:v>
                </c:pt>
                <c:pt idx="196">
                  <c:v>12605.55</c:v>
                </c:pt>
                <c:pt idx="197">
                  <c:v>12460.77</c:v>
                </c:pt>
                <c:pt idx="198">
                  <c:v>12401.31</c:v>
                </c:pt>
                <c:pt idx="199">
                  <c:v>12278.83</c:v>
                </c:pt>
                <c:pt idx="200">
                  <c:v>12249.99</c:v>
                </c:pt>
                <c:pt idx="201">
                  <c:v>12318.6</c:v>
                </c:pt>
                <c:pt idx="202">
                  <c:v>12400.17</c:v>
                </c:pt>
                <c:pt idx="203">
                  <c:v>12502.91</c:v>
                </c:pt>
                <c:pt idx="204">
                  <c:v>12326.57</c:v>
                </c:pt>
                <c:pt idx="205">
                  <c:v>11993.86</c:v>
                </c:pt>
                <c:pt idx="206">
                  <c:v>12034.27</c:v>
                </c:pt>
                <c:pt idx="207">
                  <c:v>11997.52</c:v>
                </c:pt>
                <c:pt idx="208">
                  <c:v>12159.03</c:v>
                </c:pt>
                <c:pt idx="209">
                  <c:v>12185.94</c:v>
                </c:pt>
                <c:pt idx="210">
                  <c:v>12253.56</c:v>
                </c:pt>
                <c:pt idx="211">
                  <c:v>12197.91</c:v>
                </c:pt>
                <c:pt idx="212">
                  <c:v>12285.36</c:v>
                </c:pt>
                <c:pt idx="213">
                  <c:v>12283.19</c:v>
                </c:pt>
                <c:pt idx="214">
                  <c:v>12319.05</c:v>
                </c:pt>
                <c:pt idx="215">
                  <c:v>12312.86</c:v>
                </c:pt>
                <c:pt idx="216">
                  <c:v>12478.08</c:v>
                </c:pt>
                <c:pt idx="217">
                  <c:v>12510.58</c:v>
                </c:pt>
                <c:pt idx="218">
                  <c:v>12849.17</c:v>
                </c:pt>
                <c:pt idx="219">
                  <c:v>12855.16</c:v>
                </c:pt>
                <c:pt idx="220">
                  <c:v>12808.96</c:v>
                </c:pt>
                <c:pt idx="221">
                  <c:v>12536.6</c:v>
                </c:pt>
                <c:pt idx="222">
                  <c:v>12350.76</c:v>
                </c:pt>
                <c:pt idx="223">
                  <c:v>12480.6</c:v>
                </c:pt>
                <c:pt idx="224">
                  <c:v>12121.43</c:v>
                </c:pt>
                <c:pt idx="225">
                  <c:v>12257.96</c:v>
                </c:pt>
                <c:pt idx="226">
                  <c:v>12494.21</c:v>
                </c:pt>
                <c:pt idx="227">
                  <c:v>12443.36</c:v>
                </c:pt>
                <c:pt idx="228">
                  <c:v>12330.87</c:v>
                </c:pt>
                <c:pt idx="229">
                  <c:v>12276.61</c:v>
                </c:pt>
                <c:pt idx="230">
                  <c:v>12129.54</c:v>
                </c:pt>
                <c:pt idx="231">
                  <c:v>11720.46</c:v>
                </c:pt>
                <c:pt idx="232">
                  <c:v>11724.12</c:v>
                </c:pt>
                <c:pt idx="233">
                  <c:v>11561.04</c:v>
                </c:pt>
                <c:pt idx="234">
                  <c:v>11773.64</c:v>
                </c:pt>
                <c:pt idx="235">
                  <c:v>11783.48</c:v>
                </c:pt>
                <c:pt idx="236">
                  <c:v>11608.18</c:v>
                </c:pt>
                <c:pt idx="237">
                  <c:v>11619.8</c:v>
                </c:pt>
                <c:pt idx="238">
                  <c:v>11566.38</c:v>
                </c:pt>
                <c:pt idx="239">
                  <c:v>11539.62</c:v>
                </c:pt>
                <c:pt idx="240">
                  <c:v>11725.51</c:v>
                </c:pt>
                <c:pt idx="241">
                  <c:v>11478.82</c:v>
                </c:pt>
                <c:pt idx="242">
                  <c:v>11339.48</c:v>
                </c:pt>
                <c:pt idx="243">
                  <c:v>11333.89</c:v>
                </c:pt>
                <c:pt idx="244">
                  <c:v>11206.22</c:v>
                </c:pt>
                <c:pt idx="245">
                  <c:v>11358.87</c:v>
                </c:pt>
                <c:pt idx="246">
                  <c:v>11557.97</c:v>
                </c:pt>
                <c:pt idx="247">
                  <c:v>11589.87</c:v>
                </c:pt>
                <c:pt idx="248">
                  <c:v>11352.93</c:v>
                </c:pt>
                <c:pt idx="249">
                  <c:v>11398.34</c:v>
                </c:pt>
                <c:pt idx="250">
                  <c:v>11596.4</c:v>
                </c:pt>
                <c:pt idx="251">
                  <c:v>11606.35</c:v>
                </c:pt>
                <c:pt idx="252">
                  <c:v>11770.18</c:v>
                </c:pt>
                <c:pt idx="253">
                  <c:v>11795.45</c:v>
                </c:pt>
                <c:pt idx="254">
                  <c:v>11614.11</c:v>
                </c:pt>
                <c:pt idx="255">
                  <c:v>11610.5</c:v>
                </c:pt>
                <c:pt idx="256">
                  <c:v>11496.88</c:v>
                </c:pt>
                <c:pt idx="257">
                  <c:v>11594.97</c:v>
                </c:pt>
                <c:pt idx="258">
                  <c:v>11434.01</c:v>
                </c:pt>
                <c:pt idx="259">
                  <c:v>11385.68</c:v>
                </c:pt>
                <c:pt idx="260">
                  <c:v>11514.59</c:v>
                </c:pt>
                <c:pt idx="261">
                  <c:v>11521.96</c:v>
                </c:pt>
                <c:pt idx="262">
                  <c:v>11443.8</c:v>
                </c:pt>
                <c:pt idx="263">
                  <c:v>11540.8</c:v>
                </c:pt>
                <c:pt idx="264">
                  <c:v>11545.06</c:v>
                </c:pt>
                <c:pt idx="265">
                  <c:v>11490.79</c:v>
                </c:pt>
                <c:pt idx="266">
                  <c:v>11492.77</c:v>
                </c:pt>
                <c:pt idx="267">
                  <c:v>11642.65</c:v>
                </c:pt>
                <c:pt idx="268">
                  <c:v>11817.37</c:v>
                </c:pt>
                <c:pt idx="269">
                  <c:v>12252.32</c:v>
                </c:pt>
                <c:pt idx="270">
                  <c:v>12345.36</c:v>
                </c:pt>
                <c:pt idx="271">
                  <c:v>12214.82</c:v>
                </c:pt>
                <c:pt idx="272">
                  <c:v>12188.51</c:v>
                </c:pt>
                <c:pt idx="273">
                  <c:v>12304.55</c:v>
                </c:pt>
                <c:pt idx="274">
                  <c:v>12543.77</c:v>
                </c:pt>
                <c:pt idx="275">
                  <c:v>12649.68</c:v>
                </c:pt>
                <c:pt idx="276">
                  <c:v>12622.27</c:v>
                </c:pt>
                <c:pt idx="277">
                  <c:v>12533.98</c:v>
                </c:pt>
                <c:pt idx="278">
                  <c:v>12532.89</c:v>
                </c:pt>
                <c:pt idx="279">
                  <c:v>12527.79</c:v>
                </c:pt>
                <c:pt idx="280">
                  <c:v>12581.91</c:v>
                </c:pt>
                <c:pt idx="281">
                  <c:v>12761.27</c:v>
                </c:pt>
                <c:pt idx="282">
                  <c:v>12907.2</c:v>
                </c:pt>
                <c:pt idx="283">
                  <c:v>12937.22</c:v>
                </c:pt>
                <c:pt idx="284">
                  <c:v>12954.29</c:v>
                </c:pt>
                <c:pt idx="285">
                  <c:v>12969.67</c:v>
                </c:pt>
                <c:pt idx="286">
                  <c:v>12995.05</c:v>
                </c:pt>
                <c:pt idx="287">
                  <c:v>12783.14</c:v>
                </c:pt>
                <c:pt idx="288">
                  <c:v>12176.88</c:v>
                </c:pt>
                <c:pt idx="289">
                  <c:v>11868.96</c:v>
                </c:pt>
                <c:pt idx="290">
                  <c:v>11845.22</c:v>
                </c:pt>
                <c:pt idx="291">
                  <c:v>11993.37</c:v>
                </c:pt>
                <c:pt idx="292">
                  <c:v>11862.33</c:v>
                </c:pt>
                <c:pt idx="293">
                  <c:v>11844.87</c:v>
                </c:pt>
                <c:pt idx="294">
                  <c:v>11917.58</c:v>
                </c:pt>
                <c:pt idx="295">
                  <c:v>11893.89</c:v>
                </c:pt>
                <c:pt idx="296">
                  <c:v>11755.34</c:v>
                </c:pt>
                <c:pt idx="297">
                  <c:v>11887.86</c:v>
                </c:pt>
                <c:pt idx="298">
                  <c:v>11983.87</c:v>
                </c:pt>
                <c:pt idx="299">
                  <c:v>11964.48</c:v>
                </c:pt>
                <c:pt idx="300">
                  <c:v>11813.01</c:v>
                </c:pt>
                <c:pt idx="301">
                  <c:v>11617.03</c:v>
                </c:pt>
                <c:pt idx="302">
                  <c:v>11367.67</c:v>
                </c:pt>
                <c:pt idx="303">
                  <c:v>11497.52</c:v>
                </c:pt>
                <c:pt idx="304">
                  <c:v>11618.17</c:v>
                </c:pt>
                <c:pt idx="305">
                  <c:v>11691.77</c:v>
                </c:pt>
                <c:pt idx="306">
                  <c:v>11602.98</c:v>
                </c:pt>
                <c:pt idx="307">
                  <c:v>11623.66</c:v>
                </c:pt>
                <c:pt idx="308">
                  <c:v>11815.83</c:v>
                </c:pt>
                <c:pt idx="309">
                  <c:v>11711.06</c:v>
                </c:pt>
                <c:pt idx="310">
                  <c:v>11101.3</c:v>
                </c:pt>
                <c:pt idx="311">
                  <c:v>10750.79</c:v>
                </c:pt>
                <c:pt idx="312">
                  <c:v>10686.48</c:v>
                </c:pt>
                <c:pt idx="313">
                  <c:v>10821.32</c:v>
                </c:pt>
                <c:pt idx="314">
                  <c:v>10778.88</c:v>
                </c:pt>
                <c:pt idx="315">
                  <c:v>10620.84</c:v>
                </c:pt>
                <c:pt idx="316">
                  <c:v>10706.42</c:v>
                </c:pt>
                <c:pt idx="317">
                  <c:v>10788.23</c:v>
                </c:pt>
                <c:pt idx="318">
                  <c:v>10837.9</c:v>
                </c:pt>
                <c:pt idx="319">
                  <c:v>10888.3</c:v>
                </c:pt>
                <c:pt idx="320">
                  <c:v>10971.85</c:v>
                </c:pt>
                <c:pt idx="321">
                  <c:v>11146.81</c:v>
                </c:pt>
                <c:pt idx="322">
                  <c:v>11156.55</c:v>
                </c:pt>
                <c:pt idx="323">
                  <c:v>11046.44</c:v>
                </c:pt>
                <c:pt idx="324">
                  <c:v>11162.24</c:v>
                </c:pt>
                <c:pt idx="325">
                  <c:v>11083.89</c:v>
                </c:pt>
                <c:pt idx="326">
                  <c:v>11156.75</c:v>
                </c:pt>
                <c:pt idx="327">
                  <c:v>11197.26</c:v>
                </c:pt>
                <c:pt idx="328">
                  <c:v>11061.28</c:v>
                </c:pt>
                <c:pt idx="329">
                  <c:v>11012.41</c:v>
                </c:pt>
                <c:pt idx="330">
                  <c:v>11157.94</c:v>
                </c:pt>
                <c:pt idx="331">
                  <c:v>11121.88</c:v>
                </c:pt>
                <c:pt idx="332">
                  <c:v>10954.19</c:v>
                </c:pt>
                <c:pt idx="333">
                  <c:v>10848.48</c:v>
                </c:pt>
                <c:pt idx="334">
                  <c:v>10939.84</c:v>
                </c:pt>
                <c:pt idx="335">
                  <c:v>10827.36</c:v>
                </c:pt>
                <c:pt idx="336">
                  <c:v>10908.88</c:v>
                </c:pt>
                <c:pt idx="337">
                  <c:v>10963.04</c:v>
                </c:pt>
                <c:pt idx="338">
                  <c:v>10745.74</c:v>
                </c:pt>
                <c:pt idx="339">
                  <c:v>10851.25</c:v>
                </c:pt>
                <c:pt idx="340">
                  <c:v>10975.06</c:v>
                </c:pt>
                <c:pt idx="341">
                  <c:v>10889.93</c:v>
                </c:pt>
                <c:pt idx="342">
                  <c:v>10930.59</c:v>
                </c:pt>
                <c:pt idx="343">
                  <c:v>11026.75</c:v>
                </c:pt>
                <c:pt idx="344">
                  <c:v>11283.09</c:v>
                </c:pt>
                <c:pt idx="345">
                  <c:v>11186.43</c:v>
                </c:pt>
                <c:pt idx="346">
                  <c:v>11180.4</c:v>
                </c:pt>
                <c:pt idx="347">
                  <c:v>11230.95</c:v>
                </c:pt>
                <c:pt idx="348">
                  <c:v>10935.89</c:v>
                </c:pt>
                <c:pt idx="349">
                  <c:v>10994.01</c:v>
                </c:pt>
                <c:pt idx="350">
                  <c:v>10962.2</c:v>
                </c:pt>
                <c:pt idx="351">
                  <c:v>10929.51</c:v>
                </c:pt>
                <c:pt idx="352">
                  <c:v>11359.51</c:v>
                </c:pt>
                <c:pt idx="353">
                  <c:v>11373.16</c:v>
                </c:pt>
                <c:pt idx="354">
                  <c:v>11636.32</c:v>
                </c:pt>
                <c:pt idx="355">
                  <c:v>11835.32</c:v>
                </c:pt>
                <c:pt idx="356">
                  <c:v>11793.52</c:v>
                </c:pt>
                <c:pt idx="357">
                  <c:v>12051.44</c:v>
                </c:pt>
                <c:pt idx="358">
                  <c:v>11973.33</c:v>
                </c:pt>
                <c:pt idx="359">
                  <c:v>12013.99</c:v>
                </c:pt>
                <c:pt idx="360">
                  <c:v>12241.29</c:v>
                </c:pt>
                <c:pt idx="361">
                  <c:v>12313.9</c:v>
                </c:pt>
                <c:pt idx="362">
                  <c:v>12404.48</c:v>
                </c:pt>
                <c:pt idx="363">
                  <c:v>12637.91</c:v>
                </c:pt>
                <c:pt idx="364">
                  <c:v>12805</c:v>
                </c:pt>
                <c:pt idx="365">
                  <c:v>12620.84</c:v>
                </c:pt>
                <c:pt idx="366">
                  <c:v>12401.9</c:v>
                </c:pt>
                <c:pt idx="367">
                  <c:v>12403.63</c:v>
                </c:pt>
                <c:pt idx="368">
                  <c:v>12468.24</c:v>
                </c:pt>
                <c:pt idx="369">
                  <c:v>12518.25</c:v>
                </c:pt>
                <c:pt idx="370">
                  <c:v>13026.31</c:v>
                </c:pt>
                <c:pt idx="371">
                  <c:v>13086.86</c:v>
                </c:pt>
                <c:pt idx="372">
                  <c:v>13353.13</c:v>
                </c:pt>
                <c:pt idx="373">
                  <c:v>13241.29</c:v>
                </c:pt>
                <c:pt idx="374">
                  <c:v>12639.49</c:v>
                </c:pt>
                <c:pt idx="375">
                  <c:v>12602.29</c:v>
                </c:pt>
                <c:pt idx="376">
                  <c:v>12546.69</c:v>
                </c:pt>
                <c:pt idx="377">
                  <c:v>12481.89</c:v>
                </c:pt>
                <c:pt idx="378">
                  <c:v>12224.87</c:v>
                </c:pt>
                <c:pt idx="379">
                  <c:v>12069.84</c:v>
                </c:pt>
                <c:pt idx="380">
                  <c:v>12116.73</c:v>
                </c:pt>
                <c:pt idx="381">
                  <c:v>12158.24</c:v>
                </c:pt>
                <c:pt idx="382">
                  <c:v>12185.54</c:v>
                </c:pt>
                <c:pt idx="383">
                  <c:v>12260.43</c:v>
                </c:pt>
                <c:pt idx="384">
                  <c:v>12117.62</c:v>
                </c:pt>
                <c:pt idx="385">
                  <c:v>12134.24</c:v>
                </c:pt>
                <c:pt idx="386">
                  <c:v>12019.93</c:v>
                </c:pt>
                <c:pt idx="387">
                  <c:v>12053.91</c:v>
                </c:pt>
                <c:pt idx="388">
                  <c:v>12166.74</c:v>
                </c:pt>
                <c:pt idx="389">
                  <c:v>12203.94</c:v>
                </c:pt>
                <c:pt idx="390">
                  <c:v>12275.02</c:v>
                </c:pt>
                <c:pt idx="391">
                  <c:v>12298.32</c:v>
                </c:pt>
                <c:pt idx="392">
                  <c:v>12288.53</c:v>
                </c:pt>
                <c:pt idx="393">
                  <c:v>12318.65</c:v>
                </c:pt>
                <c:pt idx="394">
                  <c:v>12225.41</c:v>
                </c:pt>
                <c:pt idx="395">
                  <c:v>12115.69</c:v>
                </c:pt>
                <c:pt idx="396">
                  <c:v>12170.85</c:v>
                </c:pt>
                <c:pt idx="397">
                  <c:v>12166.25</c:v>
                </c:pt>
                <c:pt idx="398">
                  <c:v>12085.87</c:v>
                </c:pt>
                <c:pt idx="399">
                  <c:v>12095.46</c:v>
                </c:pt>
                <c:pt idx="400">
                  <c:v>12014.54</c:v>
                </c:pt>
                <c:pt idx="401">
                  <c:v>12084.19</c:v>
                </c:pt>
                <c:pt idx="402">
                  <c:v>12069.69</c:v>
                </c:pt>
                <c:pt idx="403">
                  <c:v>12035.66</c:v>
                </c:pt>
                <c:pt idx="404">
                  <c:v>12143.5</c:v>
                </c:pt>
                <c:pt idx="405">
                  <c:v>12095.81</c:v>
                </c:pt>
                <c:pt idx="406">
                  <c:v>12083.05</c:v>
                </c:pt>
                <c:pt idx="407">
                  <c:v>12243.86</c:v>
                </c:pt>
                <c:pt idx="408">
                  <c:v>11996.68</c:v>
                </c:pt>
                <c:pt idx="409">
                  <c:v>12069.89</c:v>
                </c:pt>
                <c:pt idx="410">
                  <c:v>12594.92</c:v>
                </c:pt>
                <c:pt idx="411">
                  <c:v>13082.7</c:v>
                </c:pt>
                <c:pt idx="412">
                  <c:v>12905.26</c:v>
                </c:pt>
                <c:pt idx="413">
                  <c:v>12617.67</c:v>
                </c:pt>
                <c:pt idx="414">
                  <c:v>12509.17</c:v>
                </c:pt>
                <c:pt idx="415">
                  <c:v>12424.99</c:v>
                </c:pt>
                <c:pt idx="416">
                  <c:v>12251.76</c:v>
                </c:pt>
                <c:pt idx="417">
                  <c:v>12244.22</c:v>
                </c:pt>
                <c:pt idx="418">
                  <c:v>12374.76</c:v>
                </c:pt>
                <c:pt idx="419">
                  <c:v>12389.46</c:v>
                </c:pt>
                <c:pt idx="420">
                  <c:v>12271.71</c:v>
                </c:pt>
                <c:pt idx="421">
                  <c:v>12399.26</c:v>
                </c:pt>
                <c:pt idx="422">
                  <c:v>12376.87</c:v>
                </c:pt>
                <c:pt idx="423">
                  <c:v>12389.36</c:v>
                </c:pt>
                <c:pt idx="424">
                  <c:v>12306.89</c:v>
                </c:pt>
                <c:pt idx="425">
                  <c:v>12459.63</c:v>
                </c:pt>
                <c:pt idx="426">
                  <c:v>12519.32</c:v>
                </c:pt>
                <c:pt idx="427">
                  <c:v>12564.45</c:v>
                </c:pt>
                <c:pt idx="428">
                  <c:v>11786.09</c:v>
                </c:pt>
                <c:pt idx="429">
                  <c:v>11864.99</c:v>
                </c:pt>
                <c:pt idx="430">
                  <c:v>11844.31</c:v>
                </c:pt>
                <c:pt idx="431">
                  <c:v>11879.54</c:v>
                </c:pt>
                <c:pt idx="432">
                  <c:v>11799.13</c:v>
                </c:pt>
                <c:pt idx="433">
                  <c:v>11865.04</c:v>
                </c:pt>
                <c:pt idx="434">
                  <c:v>11796.78</c:v>
                </c:pt>
                <c:pt idx="435">
                  <c:v>11936.92</c:v>
                </c:pt>
                <c:pt idx="436">
                  <c:v>11953.34</c:v>
                </c:pt>
                <c:pt idx="437">
                  <c:v>11872.24</c:v>
                </c:pt>
                <c:pt idx="438">
                  <c:v>11934.03</c:v>
                </c:pt>
                <c:pt idx="439">
                  <c:v>11955.2</c:v>
                </c:pt>
                <c:pt idx="440">
                  <c:v>11901.64</c:v>
                </c:pt>
                <c:pt idx="441">
                  <c:v>11991.76</c:v>
                </c:pt>
                <c:pt idx="442">
                  <c:v>12309.39</c:v>
                </c:pt>
                <c:pt idx="443">
                  <c:v>12594.83</c:v>
                </c:pt>
                <c:pt idx="444">
                  <c:v>12585.13</c:v>
                </c:pt>
                <c:pt idx="445">
                  <c:v>12593.95</c:v>
                </c:pt>
                <c:pt idx="446">
                  <c:v>12603.7</c:v>
                </c:pt>
                <c:pt idx="447">
                  <c:v>12449.78</c:v>
                </c:pt>
                <c:pt idx="448">
                  <c:v>12558.18</c:v>
                </c:pt>
                <c:pt idx="449">
                  <c:v>12422.49</c:v>
                </c:pt>
                <c:pt idx="450">
                  <c:v>12256.86</c:v>
                </c:pt>
                <c:pt idx="451">
                  <c:v>11878.81</c:v>
                </c:pt>
                <c:pt idx="452">
                  <c:v>12223.93</c:v>
                </c:pt>
                <c:pt idx="453">
                  <c:v>12150.13</c:v>
                </c:pt>
                <c:pt idx="454">
                  <c:v>12340.46</c:v>
                </c:pt>
                <c:pt idx="455">
                  <c:v>12531.62</c:v>
                </c:pt>
                <c:pt idx="456">
                  <c:v>12565.92</c:v>
                </c:pt>
                <c:pt idx="457">
                  <c:v>12645.01</c:v>
                </c:pt>
                <c:pt idx="458">
                  <c:v>12740.27</c:v>
                </c:pt>
                <c:pt idx="459">
                  <c:v>12671.96</c:v>
                </c:pt>
                <c:pt idx="460">
                  <c:v>12284.06</c:v>
                </c:pt>
                <c:pt idx="461">
                  <c:v>12220.94</c:v>
                </c:pt>
                <c:pt idx="462">
                  <c:v>12391.62</c:v>
                </c:pt>
                <c:pt idx="463">
                  <c:v>12245.44</c:v>
                </c:pt>
                <c:pt idx="464">
                  <c:v>12520.64</c:v>
                </c:pt>
                <c:pt idx="465">
                  <c:v>12558.86</c:v>
                </c:pt>
                <c:pt idx="466">
                  <c:v>12416.36</c:v>
                </c:pt>
                <c:pt idx="467">
                  <c:v>12423.42</c:v>
                </c:pt>
                <c:pt idx="468">
                  <c:v>12266.66</c:v>
                </c:pt>
                <c:pt idx="469">
                  <c:v>12291.16</c:v>
                </c:pt>
                <c:pt idx="470">
                  <c:v>12120.39</c:v>
                </c:pt>
                <c:pt idx="471">
                  <c:v>12185.12</c:v>
                </c:pt>
                <c:pt idx="472">
                  <c:v>12241.96</c:v>
                </c:pt>
                <c:pt idx="473">
                  <c:v>12538.53</c:v>
                </c:pt>
                <c:pt idx="474">
                  <c:v>12550.97</c:v>
                </c:pt>
                <c:pt idx="475">
                  <c:v>12442.48</c:v>
                </c:pt>
                <c:pt idx="476">
                  <c:v>12433.96</c:v>
                </c:pt>
                <c:pt idx="477">
                  <c:v>12648.64</c:v>
                </c:pt>
                <c:pt idx="478">
                  <c:v>12681.81</c:v>
                </c:pt>
                <c:pt idx="479">
                  <c:v>12734.49</c:v>
                </c:pt>
                <c:pt idx="480">
                  <c:v>12523.78</c:v>
                </c:pt>
                <c:pt idx="481">
                  <c:v>12457.08</c:v>
                </c:pt>
                <c:pt idx="482">
                  <c:v>12149.01</c:v>
                </c:pt>
                <c:pt idx="483">
                  <c:v>12254.02</c:v>
                </c:pt>
                <c:pt idx="484">
                  <c:v>12178.65</c:v>
                </c:pt>
                <c:pt idx="485">
                  <c:v>12029.73</c:v>
                </c:pt>
                <c:pt idx="486">
                  <c:v>12424.06</c:v>
                </c:pt>
                <c:pt idx="487">
                  <c:v>12633.98</c:v>
                </c:pt>
                <c:pt idx="488">
                  <c:v>12592.82</c:v>
                </c:pt>
                <c:pt idx="489">
                  <c:v>12176.79</c:v>
                </c:pt>
                <c:pt idx="490">
                  <c:v>12325.9</c:v>
                </c:pt>
                <c:pt idx="491">
                  <c:v>12180.86</c:v>
                </c:pt>
                <c:pt idx="492">
                  <c:v>12300.96</c:v>
                </c:pt>
                <c:pt idx="493">
                  <c:v>12319.54</c:v>
                </c:pt>
                <c:pt idx="494">
                  <c:v>12361.48</c:v>
                </c:pt>
                <c:pt idx="495">
                  <c:v>12270.53</c:v>
                </c:pt>
                <c:pt idx="496">
                  <c:v>12011.46</c:v>
                </c:pt>
                <c:pt idx="497">
                  <c:v>12090.1</c:v>
                </c:pt>
                <c:pt idx="498">
                  <c:v>11676.13</c:v>
                </c:pt>
                <c:pt idx="499">
                  <c:v>11703.57</c:v>
                </c:pt>
                <c:pt idx="500">
                  <c:v>11365.9</c:v>
                </c:pt>
                <c:pt idx="501">
                  <c:v>11403.43</c:v>
                </c:pt>
                <c:pt idx="502">
                  <c:v>11248.83</c:v>
                </c:pt>
                <c:pt idx="503">
                  <c:v>11169.69</c:v>
                </c:pt>
                <c:pt idx="504">
                  <c:v>11163.56</c:v>
                </c:pt>
                <c:pt idx="505">
                  <c:v>11277.2</c:v>
                </c:pt>
                <c:pt idx="506">
                  <c:v>11165.82</c:v>
                </c:pt>
                <c:pt idx="507">
                  <c:v>11273.43</c:v>
                </c:pt>
                <c:pt idx="508">
                  <c:v>11345.95</c:v>
                </c:pt>
                <c:pt idx="509">
                  <c:v>11436.36</c:v>
                </c:pt>
                <c:pt idx="510">
                  <c:v>11363.99</c:v>
                </c:pt>
                <c:pt idx="511">
                  <c:v>11376.48</c:v>
                </c:pt>
                <c:pt idx="512">
                  <c:v>11044.54</c:v>
                </c:pt>
                <c:pt idx="513">
                  <c:v>10928.16</c:v>
                </c:pt>
                <c:pt idx="514">
                  <c:v>11273.38</c:v>
                </c:pt>
                <c:pt idx="515">
                  <c:v>11230.84</c:v>
                </c:pt>
                <c:pt idx="516">
                  <c:v>11308.96</c:v>
                </c:pt>
                <c:pt idx="517">
                  <c:v>11442.58</c:v>
                </c:pt>
                <c:pt idx="518">
                  <c:v>11240.89</c:v>
                </c:pt>
                <c:pt idx="519">
                  <c:v>11217.71</c:v>
                </c:pt>
                <c:pt idx="520">
                  <c:v>11254.66</c:v>
                </c:pt>
                <c:pt idx="521">
                  <c:v>11140.88</c:v>
                </c:pt>
                <c:pt idx="522">
                  <c:v>10866.61</c:v>
                </c:pt>
                <c:pt idx="523">
                  <c:v>10806.87</c:v>
                </c:pt>
                <c:pt idx="524">
                  <c:v>10576.46</c:v>
                </c:pt>
                <c:pt idx="525">
                  <c:v>10495.76</c:v>
                </c:pt>
                <c:pt idx="526">
                  <c:v>10516.29</c:v>
                </c:pt>
                <c:pt idx="527">
                  <c:v>10535.16</c:v>
                </c:pt>
                <c:pt idx="528">
                  <c:v>10713.48</c:v>
                </c:pt>
                <c:pt idx="529">
                  <c:v>10632.13</c:v>
                </c:pt>
                <c:pt idx="530">
                  <c:v>10217.370000000001</c:v>
                </c:pt>
                <c:pt idx="531">
                  <c:v>10439.549999999999</c:v>
                </c:pt>
                <c:pt idx="532">
                  <c:v>10419.36</c:v>
                </c:pt>
                <c:pt idx="533">
                  <c:v>9980.15</c:v>
                </c:pt>
                <c:pt idx="534">
                  <c:v>9758.61</c:v>
                </c:pt>
                <c:pt idx="535">
                  <c:v>9794.14</c:v>
                </c:pt>
                <c:pt idx="536">
                  <c:v>9689.57</c:v>
                </c:pt>
                <c:pt idx="537">
                  <c:v>9771.2099999999991</c:v>
                </c:pt>
                <c:pt idx="538">
                  <c:v>9666.93</c:v>
                </c:pt>
                <c:pt idx="539">
                  <c:v>9830.94</c:v>
                </c:pt>
                <c:pt idx="540">
                  <c:v>9851.82</c:v>
                </c:pt>
                <c:pt idx="541">
                  <c:v>9984.27</c:v>
                </c:pt>
                <c:pt idx="542">
                  <c:v>9885.24</c:v>
                </c:pt>
                <c:pt idx="543">
                  <c:v>9763.56</c:v>
                </c:pt>
                <c:pt idx="544">
                  <c:v>9808.4</c:v>
                </c:pt>
                <c:pt idx="545">
                  <c:v>9802.52</c:v>
                </c:pt>
                <c:pt idx="546">
                  <c:v>9823.1</c:v>
                </c:pt>
                <c:pt idx="547">
                  <c:v>9748.86</c:v>
                </c:pt>
                <c:pt idx="548">
                  <c:v>9818.93</c:v>
                </c:pt>
                <c:pt idx="549">
                  <c:v>9815.99</c:v>
                </c:pt>
                <c:pt idx="550">
                  <c:v>9874.4500000000007</c:v>
                </c:pt>
                <c:pt idx="551">
                  <c:v>9993.2900000000009</c:v>
                </c:pt>
                <c:pt idx="552">
                  <c:v>10076.64</c:v>
                </c:pt>
                <c:pt idx="553">
                  <c:v>10093.94</c:v>
                </c:pt>
                <c:pt idx="554">
                  <c:v>10068.209999999999</c:v>
                </c:pt>
                <c:pt idx="555">
                  <c:v>10080.219999999999</c:v>
                </c:pt>
                <c:pt idx="556">
                  <c:v>10068.700000000001</c:v>
                </c:pt>
                <c:pt idx="557">
                  <c:v>10011.120000000001</c:v>
                </c:pt>
                <c:pt idx="558">
                  <c:v>9814.33</c:v>
                </c:pt>
                <c:pt idx="559">
                  <c:v>9869.2099999999991</c:v>
                </c:pt>
                <c:pt idx="560">
                  <c:v>10031.07</c:v>
                </c:pt>
                <c:pt idx="561">
                  <c:v>10115.06</c:v>
                </c:pt>
                <c:pt idx="562">
                  <c:v>10081.44</c:v>
                </c:pt>
                <c:pt idx="563">
                  <c:v>10149.65</c:v>
                </c:pt>
                <c:pt idx="564">
                  <c:v>10179.59</c:v>
                </c:pt>
                <c:pt idx="565">
                  <c:v>10134.9</c:v>
                </c:pt>
                <c:pt idx="566">
                  <c:v>10328.120000000001</c:v>
                </c:pt>
                <c:pt idx="567">
                  <c:v>10389.42</c:v>
                </c:pt>
                <c:pt idx="568">
                  <c:v>10479.34</c:v>
                </c:pt>
                <c:pt idx="569">
                  <c:v>10413.530000000001</c:v>
                </c:pt>
                <c:pt idx="570">
                  <c:v>10504.73</c:v>
                </c:pt>
                <c:pt idx="571">
                  <c:v>10392.41</c:v>
                </c:pt>
                <c:pt idx="572">
                  <c:v>10372.91</c:v>
                </c:pt>
                <c:pt idx="573">
                  <c:v>10392.56</c:v>
                </c:pt>
                <c:pt idx="574">
                  <c:v>10378.94</c:v>
                </c:pt>
                <c:pt idx="575">
                  <c:v>10326.94</c:v>
                </c:pt>
                <c:pt idx="576">
                  <c:v>10308.27</c:v>
                </c:pt>
                <c:pt idx="577">
                  <c:v>10284.66</c:v>
                </c:pt>
                <c:pt idx="578">
                  <c:v>10286.620000000001</c:v>
                </c:pt>
                <c:pt idx="579">
                  <c:v>10320.67</c:v>
                </c:pt>
                <c:pt idx="580">
                  <c:v>10355.86</c:v>
                </c:pt>
                <c:pt idx="581">
                  <c:v>10314.15</c:v>
                </c:pt>
                <c:pt idx="582">
                  <c:v>10267.85</c:v>
                </c:pt>
                <c:pt idx="583">
                  <c:v>10251.48</c:v>
                </c:pt>
                <c:pt idx="584">
                  <c:v>10187.19</c:v>
                </c:pt>
                <c:pt idx="585">
                  <c:v>10183.370000000001</c:v>
                </c:pt>
                <c:pt idx="586">
                  <c:v>10193.61</c:v>
                </c:pt>
                <c:pt idx="587">
                  <c:v>10110.549999999999</c:v>
                </c:pt>
                <c:pt idx="588">
                  <c:v>10045.52</c:v>
                </c:pt>
                <c:pt idx="589">
                  <c:v>10076.540000000001</c:v>
                </c:pt>
                <c:pt idx="590">
                  <c:v>10067.280000000001</c:v>
                </c:pt>
                <c:pt idx="591">
                  <c:v>10101.43</c:v>
                </c:pt>
                <c:pt idx="592">
                  <c:v>10019.65</c:v>
                </c:pt>
                <c:pt idx="593">
                  <c:v>10183.81</c:v>
                </c:pt>
                <c:pt idx="594">
                  <c:v>10185.23</c:v>
                </c:pt>
                <c:pt idx="595">
                  <c:v>10342.379999999999</c:v>
                </c:pt>
                <c:pt idx="596">
                  <c:v>10218.450000000001</c:v>
                </c:pt>
                <c:pt idx="597">
                  <c:v>10384.86</c:v>
                </c:pt>
                <c:pt idx="598">
                  <c:v>10339.34</c:v>
                </c:pt>
                <c:pt idx="599">
                  <c:v>10513.01</c:v>
                </c:pt>
                <c:pt idx="600">
                  <c:v>10555.39</c:v>
                </c:pt>
                <c:pt idx="601">
                  <c:v>10576.71</c:v>
                </c:pt>
                <c:pt idx="602">
                  <c:v>10527.76</c:v>
                </c:pt>
                <c:pt idx="603">
                  <c:v>10495.51</c:v>
                </c:pt>
                <c:pt idx="604">
                  <c:v>10511.68</c:v>
                </c:pt>
                <c:pt idx="605">
                  <c:v>10365.459999999999</c:v>
                </c:pt>
                <c:pt idx="606">
                  <c:v>10202.280000000001</c:v>
                </c:pt>
                <c:pt idx="607">
                  <c:v>10166.799999999999</c:v>
                </c:pt>
                <c:pt idx="608">
                  <c:v>10034.01</c:v>
                </c:pt>
                <c:pt idx="609">
                  <c:v>10095.16</c:v>
                </c:pt>
                <c:pt idx="610">
                  <c:v>10013.92</c:v>
                </c:pt>
                <c:pt idx="611">
                  <c:v>9932.7199999999993</c:v>
                </c:pt>
                <c:pt idx="612">
                  <c:v>10134.61</c:v>
                </c:pt>
                <c:pt idx="613">
                  <c:v>10390.209999999999</c:v>
                </c:pt>
                <c:pt idx="614">
                  <c:v>10356.15</c:v>
                </c:pt>
                <c:pt idx="615">
                  <c:v>10462.040000000001</c:v>
                </c:pt>
                <c:pt idx="616">
                  <c:v>10339.15</c:v>
                </c:pt>
                <c:pt idx="617">
                  <c:v>10375.06</c:v>
                </c:pt>
                <c:pt idx="618">
                  <c:v>10326.26</c:v>
                </c:pt>
                <c:pt idx="619">
                  <c:v>10090.6</c:v>
                </c:pt>
                <c:pt idx="620">
                  <c:v>10142.01</c:v>
                </c:pt>
                <c:pt idx="621">
                  <c:v>10312.44</c:v>
                </c:pt>
                <c:pt idx="622">
                  <c:v>10317.83</c:v>
                </c:pt>
                <c:pt idx="623">
                  <c:v>10280.049999999999</c:v>
                </c:pt>
                <c:pt idx="624">
                  <c:v>10264.91</c:v>
                </c:pt>
                <c:pt idx="625">
                  <c:v>10293.280000000001</c:v>
                </c:pt>
                <c:pt idx="626">
                  <c:v>10324.74</c:v>
                </c:pt>
                <c:pt idx="627">
                  <c:v>10126.43</c:v>
                </c:pt>
                <c:pt idx="628">
                  <c:v>10078.06</c:v>
                </c:pt>
                <c:pt idx="629">
                  <c:v>9997.6</c:v>
                </c:pt>
                <c:pt idx="630">
                  <c:v>10061.5</c:v>
                </c:pt>
                <c:pt idx="631">
                  <c:v>10155.48</c:v>
                </c:pt>
                <c:pt idx="632">
                  <c:v>10125.69</c:v>
                </c:pt>
                <c:pt idx="633">
                  <c:v>9807.4699999999993</c:v>
                </c:pt>
                <c:pt idx="634">
                  <c:v>9569.61</c:v>
                </c:pt>
                <c:pt idx="635">
                  <c:v>9428.19</c:v>
                </c:pt>
                <c:pt idx="636">
                  <c:v>9403.64</c:v>
                </c:pt>
                <c:pt idx="637">
                  <c:v>9318.81</c:v>
                </c:pt>
                <c:pt idx="638">
                  <c:v>9379.2800000000007</c:v>
                </c:pt>
                <c:pt idx="639">
                  <c:v>9406.2800000000007</c:v>
                </c:pt>
                <c:pt idx="640">
                  <c:v>9304.07</c:v>
                </c:pt>
                <c:pt idx="641">
                  <c:v>9247.52</c:v>
                </c:pt>
                <c:pt idx="642">
                  <c:v>9275.2999999999993</c:v>
                </c:pt>
                <c:pt idx="643">
                  <c:v>9185.0400000000009</c:v>
                </c:pt>
                <c:pt idx="644">
                  <c:v>9230.85</c:v>
                </c:pt>
                <c:pt idx="645">
                  <c:v>9127.66</c:v>
                </c:pt>
                <c:pt idx="646">
                  <c:v>9168.6200000000008</c:v>
                </c:pt>
                <c:pt idx="647">
                  <c:v>9209.64</c:v>
                </c:pt>
                <c:pt idx="648">
                  <c:v>9274.56</c:v>
                </c:pt>
                <c:pt idx="649">
                  <c:v>9353.61</c:v>
                </c:pt>
                <c:pt idx="650">
                  <c:v>9325.77</c:v>
                </c:pt>
                <c:pt idx="651">
                  <c:v>9274.52</c:v>
                </c:pt>
                <c:pt idx="652">
                  <c:v>9351.7000000000007</c:v>
                </c:pt>
                <c:pt idx="653">
                  <c:v>9476.01</c:v>
                </c:pt>
                <c:pt idx="654">
                  <c:v>9561.7199999999993</c:v>
                </c:pt>
                <c:pt idx="655">
                  <c:v>9501.2999999999993</c:v>
                </c:pt>
                <c:pt idx="656">
                  <c:v>9573.24</c:v>
                </c:pt>
                <c:pt idx="657">
                  <c:v>9579.85</c:v>
                </c:pt>
                <c:pt idx="658">
                  <c:v>9415.1</c:v>
                </c:pt>
                <c:pt idx="659">
                  <c:v>9494.69</c:v>
                </c:pt>
                <c:pt idx="660">
                  <c:v>9412.2099999999991</c:v>
                </c:pt>
                <c:pt idx="661">
                  <c:v>9543.2900000000009</c:v>
                </c:pt>
                <c:pt idx="662">
                  <c:v>9653.99</c:v>
                </c:pt>
                <c:pt idx="663">
                  <c:v>9591.51</c:v>
                </c:pt>
                <c:pt idx="664">
                  <c:v>9350.18</c:v>
                </c:pt>
                <c:pt idx="665">
                  <c:v>9269.6200000000008</c:v>
                </c:pt>
                <c:pt idx="666">
                  <c:v>9276.3799999999992</c:v>
                </c:pt>
                <c:pt idx="667">
                  <c:v>9137.5499999999993</c:v>
                </c:pt>
                <c:pt idx="668">
                  <c:v>9203.7099999999991</c:v>
                </c:pt>
                <c:pt idx="669">
                  <c:v>9249.18</c:v>
                </c:pt>
                <c:pt idx="670">
                  <c:v>9306.81</c:v>
                </c:pt>
                <c:pt idx="671">
                  <c:v>9336.85</c:v>
                </c:pt>
                <c:pt idx="672">
                  <c:v>9411.0400000000009</c:v>
                </c:pt>
                <c:pt idx="673">
                  <c:v>9400.01</c:v>
                </c:pt>
                <c:pt idx="674">
                  <c:v>9342.5300000000007</c:v>
                </c:pt>
                <c:pt idx="675">
                  <c:v>9331.6</c:v>
                </c:pt>
                <c:pt idx="676">
                  <c:v>9358.9500000000007</c:v>
                </c:pt>
                <c:pt idx="677">
                  <c:v>9434.7999999999993</c:v>
                </c:pt>
                <c:pt idx="678">
                  <c:v>9462.24</c:v>
                </c:pt>
                <c:pt idx="679">
                  <c:v>9517.67</c:v>
                </c:pt>
                <c:pt idx="680">
                  <c:v>9537.7099999999991</c:v>
                </c:pt>
                <c:pt idx="681">
                  <c:v>9389.9699999999993</c:v>
                </c:pt>
                <c:pt idx="682">
                  <c:v>9299.51</c:v>
                </c:pt>
                <c:pt idx="683">
                  <c:v>9141.7199999999993</c:v>
                </c:pt>
                <c:pt idx="684">
                  <c:v>9171.3700000000008</c:v>
                </c:pt>
                <c:pt idx="685">
                  <c:v>9193.76</c:v>
                </c:pt>
                <c:pt idx="686">
                  <c:v>9209.69</c:v>
                </c:pt>
                <c:pt idx="687">
                  <c:v>9096.7800000000007</c:v>
                </c:pt>
                <c:pt idx="688">
                  <c:v>9084.9699999999993</c:v>
                </c:pt>
                <c:pt idx="689">
                  <c:v>9015.68</c:v>
                </c:pt>
                <c:pt idx="690">
                  <c:v>8974.7199999999993</c:v>
                </c:pt>
                <c:pt idx="691">
                  <c:v>8925.0300000000007</c:v>
                </c:pt>
                <c:pt idx="692">
                  <c:v>8940.86</c:v>
                </c:pt>
                <c:pt idx="693">
                  <c:v>8890.9699999999993</c:v>
                </c:pt>
                <c:pt idx="694">
                  <c:v>9019.65</c:v>
                </c:pt>
                <c:pt idx="695">
                  <c:v>9110.85</c:v>
                </c:pt>
                <c:pt idx="696">
                  <c:v>9077.3799999999992</c:v>
                </c:pt>
                <c:pt idx="697">
                  <c:v>8982.9500000000007</c:v>
                </c:pt>
                <c:pt idx="698">
                  <c:v>8930.57</c:v>
                </c:pt>
                <c:pt idx="699">
                  <c:v>8895.73</c:v>
                </c:pt>
                <c:pt idx="700">
                  <c:v>8749.06</c:v>
                </c:pt>
                <c:pt idx="701">
                  <c:v>8625.3799999999992</c:v>
                </c:pt>
                <c:pt idx="702">
                  <c:v>8622.68</c:v>
                </c:pt>
                <c:pt idx="703">
                  <c:v>8598.77</c:v>
                </c:pt>
                <c:pt idx="704">
                  <c:v>8418.5400000000009</c:v>
                </c:pt>
                <c:pt idx="705">
                  <c:v>8371.35</c:v>
                </c:pt>
                <c:pt idx="706">
                  <c:v>8333.52</c:v>
                </c:pt>
                <c:pt idx="707">
                  <c:v>8312.11</c:v>
                </c:pt>
                <c:pt idx="708">
                  <c:v>8294.27</c:v>
                </c:pt>
                <c:pt idx="709">
                  <c:v>8387.08</c:v>
                </c:pt>
                <c:pt idx="710">
                  <c:v>8546.34</c:v>
                </c:pt>
                <c:pt idx="711">
                  <c:v>8507.14</c:v>
                </c:pt>
                <c:pt idx="712">
                  <c:v>8560.5499999999993</c:v>
                </c:pt>
                <c:pt idx="713">
                  <c:v>8504.69</c:v>
                </c:pt>
                <c:pt idx="714">
                  <c:v>8499.74</c:v>
                </c:pt>
                <c:pt idx="715">
                  <c:v>8451.86</c:v>
                </c:pt>
                <c:pt idx="716">
                  <c:v>8483.9599999999991</c:v>
                </c:pt>
                <c:pt idx="717">
                  <c:v>8363.85</c:v>
                </c:pt>
                <c:pt idx="718">
                  <c:v>8344.5</c:v>
                </c:pt>
                <c:pt idx="719">
                  <c:v>8284.66</c:v>
                </c:pt>
                <c:pt idx="720">
                  <c:v>8332.39</c:v>
                </c:pt>
                <c:pt idx="721">
                  <c:v>8127.22</c:v>
                </c:pt>
                <c:pt idx="722">
                  <c:v>8123.99</c:v>
                </c:pt>
                <c:pt idx="723">
                  <c:v>8040.88</c:v>
                </c:pt>
                <c:pt idx="724">
                  <c:v>8109.82</c:v>
                </c:pt>
                <c:pt idx="725">
                  <c:v>8071.94</c:v>
                </c:pt>
                <c:pt idx="726">
                  <c:v>8173.28</c:v>
                </c:pt>
                <c:pt idx="727">
                  <c:v>8087.09</c:v>
                </c:pt>
                <c:pt idx="728">
                  <c:v>8064.1</c:v>
                </c:pt>
                <c:pt idx="729">
                  <c:v>8054.89</c:v>
                </c:pt>
                <c:pt idx="730">
                  <c:v>8144.96</c:v>
                </c:pt>
                <c:pt idx="731">
                  <c:v>8267.51</c:v>
                </c:pt>
                <c:pt idx="732">
                  <c:v>8303.0400000000009</c:v>
                </c:pt>
                <c:pt idx="733">
                  <c:v>8345.6200000000008</c:v>
                </c:pt>
                <c:pt idx="734">
                  <c:v>8347.68</c:v>
                </c:pt>
                <c:pt idx="735">
                  <c:v>8426.5300000000007</c:v>
                </c:pt>
                <c:pt idx="736">
                  <c:v>8371.99</c:v>
                </c:pt>
                <c:pt idx="737">
                  <c:v>8520.07</c:v>
                </c:pt>
                <c:pt idx="738">
                  <c:v>8458.48</c:v>
                </c:pt>
                <c:pt idx="739">
                  <c:v>8425.11</c:v>
                </c:pt>
                <c:pt idx="740">
                  <c:v>8380.51</c:v>
                </c:pt>
                <c:pt idx="741">
                  <c:v>8588.77</c:v>
                </c:pt>
                <c:pt idx="742">
                  <c:v>8453.7199999999993</c:v>
                </c:pt>
                <c:pt idx="743">
                  <c:v>8461.91</c:v>
                </c:pt>
                <c:pt idx="744">
                  <c:v>8486.75</c:v>
                </c:pt>
                <c:pt idx="745">
                  <c:v>8570.59</c:v>
                </c:pt>
                <c:pt idx="746">
                  <c:v>8482.14</c:v>
                </c:pt>
                <c:pt idx="747">
                  <c:v>8495.67</c:v>
                </c:pt>
                <c:pt idx="748">
                  <c:v>8516.99</c:v>
                </c:pt>
                <c:pt idx="749">
                  <c:v>8631.36</c:v>
                </c:pt>
                <c:pt idx="750">
                  <c:v>8628.2199999999993</c:v>
                </c:pt>
                <c:pt idx="751">
                  <c:v>8669.09</c:v>
                </c:pt>
                <c:pt idx="752">
                  <c:v>8599.5499999999993</c:v>
                </c:pt>
                <c:pt idx="753">
                  <c:v>8633.7099999999991</c:v>
                </c:pt>
                <c:pt idx="754">
                  <c:v>8638.41</c:v>
                </c:pt>
                <c:pt idx="755">
                  <c:v>8626.51</c:v>
                </c:pt>
                <c:pt idx="756">
                  <c:v>8655.2199999999993</c:v>
                </c:pt>
                <c:pt idx="757">
                  <c:v>8579.51</c:v>
                </c:pt>
                <c:pt idx="758">
                  <c:v>8730.1</c:v>
                </c:pt>
                <c:pt idx="759">
                  <c:v>8764.69</c:v>
                </c:pt>
                <c:pt idx="760">
                  <c:v>8691.73</c:v>
                </c:pt>
                <c:pt idx="761">
                  <c:v>8586.2800000000007</c:v>
                </c:pt>
                <c:pt idx="762">
                  <c:v>8713.93</c:v>
                </c:pt>
                <c:pt idx="763">
                  <c:v>8642.68</c:v>
                </c:pt>
                <c:pt idx="764">
                  <c:v>8560.6</c:v>
                </c:pt>
                <c:pt idx="765">
                  <c:v>8606.56</c:v>
                </c:pt>
                <c:pt idx="766">
                  <c:v>8525.07</c:v>
                </c:pt>
                <c:pt idx="767">
                  <c:v>8255.1200000000008</c:v>
                </c:pt>
                <c:pt idx="768">
                  <c:v>8275.16</c:v>
                </c:pt>
                <c:pt idx="769">
                  <c:v>8333.23</c:v>
                </c:pt>
                <c:pt idx="770">
                  <c:v>8326.56</c:v>
                </c:pt>
                <c:pt idx="771">
                  <c:v>8303.92</c:v>
                </c:pt>
                <c:pt idx="772">
                  <c:v>8217.2900000000009</c:v>
                </c:pt>
                <c:pt idx="773">
                  <c:v>8284.0300000000007</c:v>
                </c:pt>
                <c:pt idx="774">
                  <c:v>8199.01</c:v>
                </c:pt>
                <c:pt idx="775">
                  <c:v>8119.43</c:v>
                </c:pt>
                <c:pt idx="776">
                  <c:v>8127.71</c:v>
                </c:pt>
                <c:pt idx="777">
                  <c:v>8210.6200000000008</c:v>
                </c:pt>
                <c:pt idx="778">
                  <c:v>8217.68</c:v>
                </c:pt>
                <c:pt idx="779">
                  <c:v>8291.08</c:v>
                </c:pt>
                <c:pt idx="780">
                  <c:v>8253.99</c:v>
                </c:pt>
                <c:pt idx="781">
                  <c:v>8219</c:v>
                </c:pt>
                <c:pt idx="782">
                  <c:v>8238.9500000000007</c:v>
                </c:pt>
                <c:pt idx="783">
                  <c:v>8235.0300000000007</c:v>
                </c:pt>
                <c:pt idx="784">
                  <c:v>8269.82</c:v>
                </c:pt>
                <c:pt idx="785">
                  <c:v>8259.58</c:v>
                </c:pt>
                <c:pt idx="786">
                  <c:v>8135.16</c:v>
                </c:pt>
                <c:pt idx="787">
                  <c:v>8088.16</c:v>
                </c:pt>
                <c:pt idx="788">
                  <c:v>7980.85</c:v>
                </c:pt>
                <c:pt idx="789">
                  <c:v>8173.04</c:v>
                </c:pt>
                <c:pt idx="790">
                  <c:v>8181.76</c:v>
                </c:pt>
                <c:pt idx="791">
                  <c:v>8352.19</c:v>
                </c:pt>
                <c:pt idx="792">
                  <c:v>8436.52</c:v>
                </c:pt>
                <c:pt idx="793">
                  <c:v>8315.39</c:v>
                </c:pt>
                <c:pt idx="794">
                  <c:v>8412.76</c:v>
                </c:pt>
                <c:pt idx="795">
                  <c:v>8469.31</c:v>
                </c:pt>
                <c:pt idx="796">
                  <c:v>8449.7099999999991</c:v>
                </c:pt>
                <c:pt idx="797">
                  <c:v>8486.41</c:v>
                </c:pt>
                <c:pt idx="798">
                  <c:v>8442.94</c:v>
                </c:pt>
                <c:pt idx="799">
                  <c:v>8509.0499999999993</c:v>
                </c:pt>
                <c:pt idx="800">
                  <c:v>8483.0300000000007</c:v>
                </c:pt>
                <c:pt idx="801">
                  <c:v>8541.83</c:v>
                </c:pt>
                <c:pt idx="802">
                  <c:v>8618.3700000000008</c:v>
                </c:pt>
                <c:pt idx="803">
                  <c:v>8639.25</c:v>
                </c:pt>
                <c:pt idx="804">
                  <c:v>8777.73</c:v>
                </c:pt>
                <c:pt idx="805">
                  <c:v>8797.8700000000008</c:v>
                </c:pt>
                <c:pt idx="806">
                  <c:v>8733.58</c:v>
                </c:pt>
                <c:pt idx="807">
                  <c:v>8825.26</c:v>
                </c:pt>
                <c:pt idx="808">
                  <c:v>8836.73</c:v>
                </c:pt>
                <c:pt idx="809">
                  <c:v>8773.3700000000008</c:v>
                </c:pt>
                <c:pt idx="810">
                  <c:v>8758.0300000000007</c:v>
                </c:pt>
                <c:pt idx="811">
                  <c:v>8693.59</c:v>
                </c:pt>
                <c:pt idx="812">
                  <c:v>8684.82</c:v>
                </c:pt>
                <c:pt idx="813">
                  <c:v>8668.5</c:v>
                </c:pt>
                <c:pt idx="814">
                  <c:v>8806.59</c:v>
                </c:pt>
                <c:pt idx="815">
                  <c:v>8952.81</c:v>
                </c:pt>
                <c:pt idx="816">
                  <c:v>8976.2900000000009</c:v>
                </c:pt>
                <c:pt idx="817">
                  <c:v>8969.82</c:v>
                </c:pt>
                <c:pt idx="818">
                  <c:v>8907</c:v>
                </c:pt>
                <c:pt idx="819">
                  <c:v>8904.7900000000009</c:v>
                </c:pt>
                <c:pt idx="820">
                  <c:v>9064.34</c:v>
                </c:pt>
                <c:pt idx="821">
                  <c:v>9135.1</c:v>
                </c:pt>
                <c:pt idx="822">
                  <c:v>9042.49</c:v>
                </c:pt>
                <c:pt idx="823">
                  <c:v>9052.09</c:v>
                </c:pt>
                <c:pt idx="824">
                  <c:v>9044.16</c:v>
                </c:pt>
                <c:pt idx="825">
                  <c:v>9266.7199999999993</c:v>
                </c:pt>
                <c:pt idx="826">
                  <c:v>9335.52</c:v>
                </c:pt>
                <c:pt idx="827">
                  <c:v>9304.7000000000007</c:v>
                </c:pt>
                <c:pt idx="828">
                  <c:v>8865.59</c:v>
                </c:pt>
                <c:pt idx="829">
                  <c:v>8824.82</c:v>
                </c:pt>
                <c:pt idx="830">
                  <c:v>8591.4699999999993</c:v>
                </c:pt>
                <c:pt idx="831">
                  <c:v>8526.2999999999993</c:v>
                </c:pt>
                <c:pt idx="832">
                  <c:v>8535.9</c:v>
                </c:pt>
                <c:pt idx="833">
                  <c:v>8547.86</c:v>
                </c:pt>
                <c:pt idx="834">
                  <c:v>8625.7199999999993</c:v>
                </c:pt>
                <c:pt idx="835">
                  <c:v>8553.69</c:v>
                </c:pt>
                <c:pt idx="836">
                  <c:v>8445.39</c:v>
                </c:pt>
                <c:pt idx="837">
                  <c:v>8472.5400000000009</c:v>
                </c:pt>
                <c:pt idx="838">
                  <c:v>8512.58</c:v>
                </c:pt>
                <c:pt idx="839">
                  <c:v>8508.75</c:v>
                </c:pt>
                <c:pt idx="840">
                  <c:v>8688.69</c:v>
                </c:pt>
                <c:pt idx="841">
                  <c:v>8607.74</c:v>
                </c:pt>
                <c:pt idx="842">
                  <c:v>8528.65</c:v>
                </c:pt>
                <c:pt idx="843">
                  <c:v>8514.14</c:v>
                </c:pt>
                <c:pt idx="844">
                  <c:v>8373.9500000000007</c:v>
                </c:pt>
                <c:pt idx="845">
                  <c:v>8647.5300000000007</c:v>
                </c:pt>
                <c:pt idx="846">
                  <c:v>8448.9699999999993</c:v>
                </c:pt>
                <c:pt idx="847">
                  <c:v>8542.32</c:v>
                </c:pt>
                <c:pt idx="848">
                  <c:v>8597.64</c:v>
                </c:pt>
                <c:pt idx="849">
                  <c:v>8654.44</c:v>
                </c:pt>
                <c:pt idx="850">
                  <c:v>9157.5</c:v>
                </c:pt>
                <c:pt idx="851">
                  <c:v>9216.25</c:v>
                </c:pt>
                <c:pt idx="852">
                  <c:v>9064.2000000000007</c:v>
                </c:pt>
                <c:pt idx="853">
                  <c:v>9111.44</c:v>
                </c:pt>
                <c:pt idx="854">
                  <c:v>9098.16</c:v>
                </c:pt>
                <c:pt idx="855">
                  <c:v>9041.56</c:v>
                </c:pt>
                <c:pt idx="856">
                  <c:v>9060.77</c:v>
                </c:pt>
                <c:pt idx="857">
                  <c:v>8777.34</c:v>
                </c:pt>
                <c:pt idx="858">
                  <c:v>8748.1299999999992</c:v>
                </c:pt>
                <c:pt idx="859">
                  <c:v>8749.9</c:v>
                </c:pt>
                <c:pt idx="860">
                  <c:v>8767.24</c:v>
                </c:pt>
                <c:pt idx="861">
                  <c:v>8612.34</c:v>
                </c:pt>
                <c:pt idx="862">
                  <c:v>8606.91</c:v>
                </c:pt>
                <c:pt idx="863">
                  <c:v>8706.68</c:v>
                </c:pt>
                <c:pt idx="864">
                  <c:v>8760.58</c:v>
                </c:pt>
                <c:pt idx="865">
                  <c:v>8742.15</c:v>
                </c:pt>
                <c:pt idx="866">
                  <c:v>8847.85</c:v>
                </c:pt>
                <c:pt idx="867">
                  <c:v>8910.5300000000007</c:v>
                </c:pt>
                <c:pt idx="868">
                  <c:v>8656.5400000000009</c:v>
                </c:pt>
                <c:pt idx="869">
                  <c:v>8545.26</c:v>
                </c:pt>
                <c:pt idx="870">
                  <c:v>8558</c:v>
                </c:pt>
                <c:pt idx="871">
                  <c:v>8518.41</c:v>
                </c:pt>
                <c:pt idx="872">
                  <c:v>8547.81</c:v>
                </c:pt>
                <c:pt idx="873">
                  <c:v>8451.4699999999993</c:v>
                </c:pt>
                <c:pt idx="874">
                  <c:v>8602.4</c:v>
                </c:pt>
                <c:pt idx="875">
                  <c:v>8760.9699999999993</c:v>
                </c:pt>
                <c:pt idx="876">
                  <c:v>8768.91</c:v>
                </c:pt>
                <c:pt idx="877">
                  <c:v>8819.92</c:v>
                </c:pt>
                <c:pt idx="878">
                  <c:v>8525.61</c:v>
                </c:pt>
                <c:pt idx="879">
                  <c:v>8642.09</c:v>
                </c:pt>
                <c:pt idx="880">
                  <c:v>8702.31</c:v>
                </c:pt>
                <c:pt idx="881">
                  <c:v>8745.5300000000007</c:v>
                </c:pt>
                <c:pt idx="882">
                  <c:v>8659.7800000000007</c:v>
                </c:pt>
                <c:pt idx="883">
                  <c:v>8791.99</c:v>
                </c:pt>
                <c:pt idx="884">
                  <c:v>8778.02</c:v>
                </c:pt>
                <c:pt idx="885">
                  <c:v>8925.32</c:v>
                </c:pt>
                <c:pt idx="886">
                  <c:v>8766.6200000000008</c:v>
                </c:pt>
                <c:pt idx="887">
                  <c:v>8541.18</c:v>
                </c:pt>
                <c:pt idx="888">
                  <c:v>8490.4</c:v>
                </c:pt>
                <c:pt idx="889">
                  <c:v>8431.74</c:v>
                </c:pt>
                <c:pt idx="890">
                  <c:v>8297.3799999999992</c:v>
                </c:pt>
                <c:pt idx="891">
                  <c:v>8386.2199999999993</c:v>
                </c:pt>
                <c:pt idx="892">
                  <c:v>8593.36</c:v>
                </c:pt>
                <c:pt idx="893">
                  <c:v>8569.17</c:v>
                </c:pt>
                <c:pt idx="894">
                  <c:v>8514.84</c:v>
                </c:pt>
                <c:pt idx="895">
                  <c:v>8484.85</c:v>
                </c:pt>
                <c:pt idx="896">
                  <c:v>8477.5</c:v>
                </c:pt>
                <c:pt idx="897">
                  <c:v>8549.26</c:v>
                </c:pt>
                <c:pt idx="898">
                  <c:v>8336.52</c:v>
                </c:pt>
                <c:pt idx="899">
                  <c:v>8217.73</c:v>
                </c:pt>
                <c:pt idx="900">
                  <c:v>8200.06</c:v>
                </c:pt>
                <c:pt idx="901">
                  <c:v>8280.34</c:v>
                </c:pt>
                <c:pt idx="902">
                  <c:v>8252.01</c:v>
                </c:pt>
                <c:pt idx="903">
                  <c:v>8371.9599999999991</c:v>
                </c:pt>
                <c:pt idx="904">
                  <c:v>8407.25</c:v>
                </c:pt>
                <c:pt idx="905">
                  <c:v>8124.8</c:v>
                </c:pt>
                <c:pt idx="906">
                  <c:v>8217.73</c:v>
                </c:pt>
                <c:pt idx="907">
                  <c:v>8175.23</c:v>
                </c:pt>
                <c:pt idx="908">
                  <c:v>8246.89</c:v>
                </c:pt>
                <c:pt idx="909">
                  <c:v>8283.2099999999991</c:v>
                </c:pt>
                <c:pt idx="910">
                  <c:v>8264.1299999999992</c:v>
                </c:pt>
                <c:pt idx="911">
                  <c:v>8221.24</c:v>
                </c:pt>
                <c:pt idx="912">
                  <c:v>8134.93</c:v>
                </c:pt>
                <c:pt idx="913">
                  <c:v>8056.45</c:v>
                </c:pt>
                <c:pt idx="914">
                  <c:v>7576.84</c:v>
                </c:pt>
                <c:pt idx="915">
                  <c:v>7575.72</c:v>
                </c:pt>
                <c:pt idx="916">
                  <c:v>7457.91</c:v>
                </c:pt>
                <c:pt idx="917">
                  <c:v>7488.19</c:v>
                </c:pt>
                <c:pt idx="918">
                  <c:v>7626.64</c:v>
                </c:pt>
                <c:pt idx="919">
                  <c:v>7645.72</c:v>
                </c:pt>
                <c:pt idx="920">
                  <c:v>7604.83</c:v>
                </c:pt>
                <c:pt idx="921">
                  <c:v>7688.08</c:v>
                </c:pt>
                <c:pt idx="922">
                  <c:v>7725.61</c:v>
                </c:pt>
                <c:pt idx="923">
                  <c:v>7716.6</c:v>
                </c:pt>
                <c:pt idx="924">
                  <c:v>7685.01</c:v>
                </c:pt>
                <c:pt idx="925">
                  <c:v>7602.79</c:v>
                </c:pt>
                <c:pt idx="926">
                  <c:v>7507.37</c:v>
                </c:pt>
                <c:pt idx="927">
                  <c:v>7503.86</c:v>
                </c:pt>
                <c:pt idx="928">
                  <c:v>7715.82</c:v>
                </c:pt>
                <c:pt idx="929">
                  <c:v>7728.34</c:v>
                </c:pt>
                <c:pt idx="930">
                  <c:v>7760.13</c:v>
                </c:pt>
                <c:pt idx="931">
                  <c:v>7802.33</c:v>
                </c:pt>
                <c:pt idx="932">
                  <c:v>7732.23</c:v>
                </c:pt>
                <c:pt idx="933">
                  <c:v>7600.59</c:v>
                </c:pt>
                <c:pt idx="934">
                  <c:v>7580.54</c:v>
                </c:pt>
                <c:pt idx="935">
                  <c:v>7594.07</c:v>
                </c:pt>
                <c:pt idx="936">
                  <c:v>7688.03</c:v>
                </c:pt>
                <c:pt idx="937">
                  <c:v>7387.17</c:v>
                </c:pt>
                <c:pt idx="938">
                  <c:v>7213.72</c:v>
                </c:pt>
                <c:pt idx="939">
                  <c:v>7366.43</c:v>
                </c:pt>
                <c:pt idx="940">
                  <c:v>7334.84</c:v>
                </c:pt>
                <c:pt idx="941">
                  <c:v>7062.66</c:v>
                </c:pt>
                <c:pt idx="942">
                  <c:v>6914.57</c:v>
                </c:pt>
                <c:pt idx="943">
                  <c:v>7061.05</c:v>
                </c:pt>
                <c:pt idx="944">
                  <c:v>7194.54</c:v>
                </c:pt>
                <c:pt idx="945">
                  <c:v>7318.78</c:v>
                </c:pt>
                <c:pt idx="946">
                  <c:v>7165.48</c:v>
                </c:pt>
                <c:pt idx="947">
                  <c:v>7085.59</c:v>
                </c:pt>
                <c:pt idx="948">
                  <c:v>7210.22</c:v>
                </c:pt>
                <c:pt idx="949">
                  <c:v>7204.52</c:v>
                </c:pt>
                <c:pt idx="950">
                  <c:v>7528.89</c:v>
                </c:pt>
                <c:pt idx="951">
                  <c:v>7679.99</c:v>
                </c:pt>
                <c:pt idx="952">
                  <c:v>7582.58</c:v>
                </c:pt>
                <c:pt idx="953">
                  <c:v>7692.99</c:v>
                </c:pt>
                <c:pt idx="954">
                  <c:v>7702.19</c:v>
                </c:pt>
                <c:pt idx="955">
                  <c:v>7694.89</c:v>
                </c:pt>
                <c:pt idx="956">
                  <c:v>7668.21</c:v>
                </c:pt>
                <c:pt idx="957">
                  <c:v>7466.48</c:v>
                </c:pt>
                <c:pt idx="958">
                  <c:v>7241.91</c:v>
                </c:pt>
                <c:pt idx="959">
                  <c:v>7374.86</c:v>
                </c:pt>
                <c:pt idx="960">
                  <c:v>7274.86</c:v>
                </c:pt>
                <c:pt idx="961">
                  <c:v>7412.83</c:v>
                </c:pt>
                <c:pt idx="962">
                  <c:v>7365.17</c:v>
                </c:pt>
                <c:pt idx="963">
                  <c:v>7358.45</c:v>
                </c:pt>
                <c:pt idx="964">
                  <c:v>7436</c:v>
                </c:pt>
                <c:pt idx="965">
                  <c:v>7540.38</c:v>
                </c:pt>
                <c:pt idx="966">
                  <c:v>7555.9</c:v>
                </c:pt>
                <c:pt idx="967">
                  <c:v>7570.36</c:v>
                </c:pt>
                <c:pt idx="968">
                  <c:v>7489.06</c:v>
                </c:pt>
                <c:pt idx="969">
                  <c:v>7360.59</c:v>
                </c:pt>
                <c:pt idx="970">
                  <c:v>7399.98</c:v>
                </c:pt>
                <c:pt idx="971">
                  <c:v>7241.81</c:v>
                </c:pt>
                <c:pt idx="972">
                  <c:v>7279.78</c:v>
                </c:pt>
                <c:pt idx="973">
                  <c:v>7223.85</c:v>
                </c:pt>
                <c:pt idx="974">
                  <c:v>7355.29</c:v>
                </c:pt>
                <c:pt idx="975">
                  <c:v>7442.28</c:v>
                </c:pt>
                <c:pt idx="976">
                  <c:v>7558.87</c:v>
                </c:pt>
                <c:pt idx="977">
                  <c:v>7500.41</c:v>
                </c:pt>
                <c:pt idx="978">
                  <c:v>7488.87</c:v>
                </c:pt>
                <c:pt idx="979">
                  <c:v>7287.03</c:v>
                </c:pt>
                <c:pt idx="980">
                  <c:v>7221.7</c:v>
                </c:pt>
                <c:pt idx="981">
                  <c:v>7121.66</c:v>
                </c:pt>
                <c:pt idx="982">
                  <c:v>6919.29</c:v>
                </c:pt>
                <c:pt idx="983">
                  <c:v>7016.27</c:v>
                </c:pt>
                <c:pt idx="984">
                  <c:v>6844.47</c:v>
                </c:pt>
                <c:pt idx="985">
                  <c:v>6625.79</c:v>
                </c:pt>
                <c:pt idx="986">
                  <c:v>6590.54</c:v>
                </c:pt>
                <c:pt idx="987">
                  <c:v>7053.36</c:v>
                </c:pt>
                <c:pt idx="988">
                  <c:v>7397.79</c:v>
                </c:pt>
                <c:pt idx="989">
                  <c:v>7607.85</c:v>
                </c:pt>
                <c:pt idx="990">
                  <c:v>8093.21</c:v>
                </c:pt>
                <c:pt idx="991">
                  <c:v>8134.24</c:v>
                </c:pt>
                <c:pt idx="992">
                  <c:v>7992.92</c:v>
                </c:pt>
                <c:pt idx="993">
                  <c:v>8471.7999999999993</c:v>
                </c:pt>
                <c:pt idx="994">
                  <c:v>8398.83</c:v>
                </c:pt>
                <c:pt idx="995">
                  <c:v>8384.91</c:v>
                </c:pt>
                <c:pt idx="996">
                  <c:v>8329.7999999999993</c:v>
                </c:pt>
                <c:pt idx="997">
                  <c:v>8320.7900000000009</c:v>
                </c:pt>
                <c:pt idx="998">
                  <c:v>8358.33</c:v>
                </c:pt>
                <c:pt idx="999">
                  <c:v>8395.7099999999991</c:v>
                </c:pt>
                <c:pt idx="1000">
                  <c:v>8510.17</c:v>
                </c:pt>
                <c:pt idx="1001">
                  <c:v>8572.58</c:v>
                </c:pt>
                <c:pt idx="1002">
                  <c:v>8715.5499999999993</c:v>
                </c:pt>
                <c:pt idx="1003">
                  <c:v>8369.3799999999992</c:v>
                </c:pt>
                <c:pt idx="1004">
                  <c:v>8286.0300000000007</c:v>
                </c:pt>
                <c:pt idx="1005">
                  <c:v>8321.18</c:v>
                </c:pt>
                <c:pt idx="1006">
                  <c:v>8363.68</c:v>
                </c:pt>
                <c:pt idx="1007">
                  <c:v>8292.2199999999993</c:v>
                </c:pt>
                <c:pt idx="1008">
                  <c:v>8331.89</c:v>
                </c:pt>
                <c:pt idx="1009">
                  <c:v>8368.01</c:v>
                </c:pt>
                <c:pt idx="1010">
                  <c:v>8327.7099999999991</c:v>
                </c:pt>
                <c:pt idx="1011">
                  <c:v>8584.7900000000009</c:v>
                </c:pt>
                <c:pt idx="1012">
                  <c:v>8373.86</c:v>
                </c:pt>
                <c:pt idx="1013">
                  <c:v>7835.14</c:v>
                </c:pt>
                <c:pt idx="1014">
                  <c:v>7972.72</c:v>
                </c:pt>
                <c:pt idx="1015">
                  <c:v>7824.48</c:v>
                </c:pt>
                <c:pt idx="1016">
                  <c:v>7797.37</c:v>
                </c:pt>
                <c:pt idx="1017">
                  <c:v>7707.01</c:v>
                </c:pt>
                <c:pt idx="1018">
                  <c:v>8046.81</c:v>
                </c:pt>
                <c:pt idx="1019">
                  <c:v>7869.07</c:v>
                </c:pt>
                <c:pt idx="1020">
                  <c:v>7862.75</c:v>
                </c:pt>
                <c:pt idx="1021">
                  <c:v>7952.61</c:v>
                </c:pt>
                <c:pt idx="1022">
                  <c:v>7929.88</c:v>
                </c:pt>
                <c:pt idx="1023">
                  <c:v>7909.68</c:v>
                </c:pt>
                <c:pt idx="1024">
                  <c:v>7699.03</c:v>
                </c:pt>
                <c:pt idx="1025">
                  <c:v>7671.38</c:v>
                </c:pt>
                <c:pt idx="1026">
                  <c:v>7568.61</c:v>
                </c:pt>
                <c:pt idx="1027">
                  <c:v>7426.56</c:v>
                </c:pt>
                <c:pt idx="1028">
                  <c:v>7321.45</c:v>
                </c:pt>
                <c:pt idx="1029">
                  <c:v>7231.1</c:v>
                </c:pt>
                <c:pt idx="1030">
                  <c:v>7092.31</c:v>
                </c:pt>
                <c:pt idx="1031">
                  <c:v>7150.97</c:v>
                </c:pt>
                <c:pt idx="1032">
                  <c:v>7104.72</c:v>
                </c:pt>
                <c:pt idx="1033">
                  <c:v>7095.81</c:v>
                </c:pt>
                <c:pt idx="1034">
                  <c:v>7123.76</c:v>
                </c:pt>
                <c:pt idx="1035">
                  <c:v>7189.92</c:v>
                </c:pt>
                <c:pt idx="1036">
                  <c:v>7231.29</c:v>
                </c:pt>
                <c:pt idx="1037">
                  <c:v>7112.71</c:v>
                </c:pt>
                <c:pt idx="1038">
                  <c:v>7097.95</c:v>
                </c:pt>
                <c:pt idx="1039">
                  <c:v>7104.19</c:v>
                </c:pt>
                <c:pt idx="1040">
                  <c:v>7256.17</c:v>
                </c:pt>
                <c:pt idx="1041">
                  <c:v>7367.26</c:v>
                </c:pt>
                <c:pt idx="1042">
                  <c:v>7293.56</c:v>
                </c:pt>
                <c:pt idx="1043">
                  <c:v>7317.27</c:v>
                </c:pt>
                <c:pt idx="1044">
                  <c:v>7230.52</c:v>
                </c:pt>
                <c:pt idx="1045">
                  <c:v>7223.65</c:v>
                </c:pt>
                <c:pt idx="1046">
                  <c:v>7241.18</c:v>
                </c:pt>
                <c:pt idx="1047">
                  <c:v>6997.72</c:v>
                </c:pt>
                <c:pt idx="1048">
                  <c:v>6856.54</c:v>
                </c:pt>
                <c:pt idx="1049">
                  <c:v>7012.27</c:v>
                </c:pt>
                <c:pt idx="1050">
                  <c:v>7131.89</c:v>
                </c:pt>
                <c:pt idx="1051">
                  <c:v>7082.96</c:v>
                </c:pt>
                <c:pt idx="1052">
                  <c:v>6899.33</c:v>
                </c:pt>
                <c:pt idx="1053">
                  <c:v>6958.29</c:v>
                </c:pt>
                <c:pt idx="1054">
                  <c:v>6981.85</c:v>
                </c:pt>
                <c:pt idx="1055">
                  <c:v>7370.38</c:v>
                </c:pt>
                <c:pt idx="1056">
                  <c:v>7462.48</c:v>
                </c:pt>
                <c:pt idx="1057">
                  <c:v>7643.34</c:v>
                </c:pt>
                <c:pt idx="1058">
                  <c:v>7657.02</c:v>
                </c:pt>
                <c:pt idx="1059">
                  <c:v>7898.92</c:v>
                </c:pt>
                <c:pt idx="1060">
                  <c:v>8054.89</c:v>
                </c:pt>
                <c:pt idx="1061">
                  <c:v>7837.43</c:v>
                </c:pt>
                <c:pt idx="1062">
                  <c:v>7303.29</c:v>
                </c:pt>
                <c:pt idx="1063">
                  <c:v>7280.41</c:v>
                </c:pt>
                <c:pt idx="1064">
                  <c:v>7256.56</c:v>
                </c:pt>
                <c:pt idx="1065">
                  <c:v>7310.65</c:v>
                </c:pt>
                <c:pt idx="1066">
                  <c:v>7377.29</c:v>
                </c:pt>
                <c:pt idx="1067">
                  <c:v>7483.9</c:v>
                </c:pt>
                <c:pt idx="1068">
                  <c:v>7540.28</c:v>
                </c:pt>
                <c:pt idx="1069">
                  <c:v>7531.76</c:v>
                </c:pt>
                <c:pt idx="1070">
                  <c:v>7586.62</c:v>
                </c:pt>
                <c:pt idx="1071">
                  <c:v>7412</c:v>
                </c:pt>
                <c:pt idx="1072">
                  <c:v>7286.11</c:v>
                </c:pt>
                <c:pt idx="1073">
                  <c:v>7179.01</c:v>
                </c:pt>
                <c:pt idx="1074">
                  <c:v>7158.66</c:v>
                </c:pt>
                <c:pt idx="1075">
                  <c:v>7103.8</c:v>
                </c:pt>
                <c:pt idx="1076">
                  <c:v>7071.76</c:v>
                </c:pt>
                <c:pt idx="1077">
                  <c:v>7215.62</c:v>
                </c:pt>
                <c:pt idx="1078">
                  <c:v>7371.79</c:v>
                </c:pt>
                <c:pt idx="1079">
                  <c:v>7392.33</c:v>
                </c:pt>
                <c:pt idx="1080">
                  <c:v>7451.43</c:v>
                </c:pt>
                <c:pt idx="1081">
                  <c:v>7450.41</c:v>
                </c:pt>
                <c:pt idx="1082">
                  <c:v>7293.12</c:v>
                </c:pt>
                <c:pt idx="1083">
                  <c:v>7287.03</c:v>
                </c:pt>
                <c:pt idx="1084">
                  <c:v>7490.14</c:v>
                </c:pt>
                <c:pt idx="1085">
                  <c:v>7494.96</c:v>
                </c:pt>
                <c:pt idx="1086">
                  <c:v>7229.98</c:v>
                </c:pt>
                <c:pt idx="1087">
                  <c:v>7293.8</c:v>
                </c:pt>
                <c:pt idx="1088">
                  <c:v>7010.86</c:v>
                </c:pt>
                <c:pt idx="1089">
                  <c:v>7057.5</c:v>
                </c:pt>
                <c:pt idx="1090">
                  <c:v>6989.15</c:v>
                </c:pt>
                <c:pt idx="1091">
                  <c:v>6970.65</c:v>
                </c:pt>
                <c:pt idx="1092">
                  <c:v>7141.43</c:v>
                </c:pt>
                <c:pt idx="1093">
                  <c:v>7186.8</c:v>
                </c:pt>
                <c:pt idx="1094">
                  <c:v>7223.7</c:v>
                </c:pt>
                <c:pt idx="1095">
                  <c:v>7209</c:v>
                </c:pt>
                <c:pt idx="1096">
                  <c:v>6767.36</c:v>
                </c:pt>
                <c:pt idx="1097">
                  <c:v>6663.76</c:v>
                </c:pt>
                <c:pt idx="1098">
                  <c:v>6648.52</c:v>
                </c:pt>
                <c:pt idx="1099">
                  <c:v>6599.16</c:v>
                </c:pt>
                <c:pt idx="1100">
                  <c:v>6770.91</c:v>
                </c:pt>
                <c:pt idx="1101">
                  <c:v>6827.62</c:v>
                </c:pt>
                <c:pt idx="1102">
                  <c:v>6751.39</c:v>
                </c:pt>
                <c:pt idx="1103">
                  <c:v>6725.83</c:v>
                </c:pt>
                <c:pt idx="1104">
                  <c:v>6717.07</c:v>
                </c:pt>
                <c:pt idx="1105">
                  <c:v>6691.75</c:v>
                </c:pt>
                <c:pt idx="1106">
                  <c:v>6622.53</c:v>
                </c:pt>
                <c:pt idx="1107">
                  <c:v>6605.93</c:v>
                </c:pt>
                <c:pt idx="1108">
                  <c:v>6695.21</c:v>
                </c:pt>
                <c:pt idx="1109">
                  <c:v>6667.12</c:v>
                </c:pt>
                <c:pt idx="1110">
                  <c:v>6682.36</c:v>
                </c:pt>
                <c:pt idx="1111">
                  <c:v>6611.96</c:v>
                </c:pt>
                <c:pt idx="1112">
                  <c:v>6606.46</c:v>
                </c:pt>
                <c:pt idx="1113">
                  <c:v>6663.81</c:v>
                </c:pt>
                <c:pt idx="1114">
                  <c:v>6617.9</c:v>
                </c:pt>
                <c:pt idx="1115">
                  <c:v>6431.65</c:v>
                </c:pt>
                <c:pt idx="1116">
                  <c:v>6434.81</c:v>
                </c:pt>
                <c:pt idx="1117">
                  <c:v>6538.75</c:v>
                </c:pt>
                <c:pt idx="1118">
                  <c:v>6628.91</c:v>
                </c:pt>
                <c:pt idx="1119">
                  <c:v>6646.77</c:v>
                </c:pt>
                <c:pt idx="1120">
                  <c:v>6667.02</c:v>
                </c:pt>
                <c:pt idx="1121">
                  <c:v>6660.99</c:v>
                </c:pt>
                <c:pt idx="1122">
                  <c:v>6706.6</c:v>
                </c:pt>
                <c:pt idx="1123">
                  <c:v>6648.77</c:v>
                </c:pt>
                <c:pt idx="1124">
                  <c:v>6814.58</c:v>
                </c:pt>
                <c:pt idx="1125">
                  <c:v>6825.19</c:v>
                </c:pt>
                <c:pt idx="1126">
                  <c:v>6838.68</c:v>
                </c:pt>
                <c:pt idx="1127">
                  <c:v>6816.82</c:v>
                </c:pt>
                <c:pt idx="1128">
                  <c:v>6894.9</c:v>
                </c:pt>
                <c:pt idx="1129">
                  <c:v>6914.96</c:v>
                </c:pt>
                <c:pt idx="1130">
                  <c:v>6841.26</c:v>
                </c:pt>
                <c:pt idx="1131">
                  <c:v>6870.9</c:v>
                </c:pt>
                <c:pt idx="1132">
                  <c:v>6962.18</c:v>
                </c:pt>
                <c:pt idx="1133">
                  <c:v>6845.12</c:v>
                </c:pt>
                <c:pt idx="1134">
                  <c:v>6751.66</c:v>
                </c:pt>
                <c:pt idx="1135">
                  <c:v>6764.43</c:v>
                </c:pt>
                <c:pt idx="1136">
                  <c:v>6917.58</c:v>
                </c:pt>
                <c:pt idx="1137">
                  <c:v>7005.86</c:v>
                </c:pt>
                <c:pt idx="1138">
                  <c:v>7000.2</c:v>
                </c:pt>
                <c:pt idx="1139">
                  <c:v>7053.03</c:v>
                </c:pt>
                <c:pt idx="1140">
                  <c:v>7058.45</c:v>
                </c:pt>
                <c:pt idx="1141">
                  <c:v>6997.93</c:v>
                </c:pt>
                <c:pt idx="1142">
                  <c:v>6932.82</c:v>
                </c:pt>
                <c:pt idx="1143">
                  <c:v>7066.04</c:v>
                </c:pt>
                <c:pt idx="1144">
                  <c:v>7069.33</c:v>
                </c:pt>
                <c:pt idx="1145">
                  <c:v>7089.84</c:v>
                </c:pt>
                <c:pt idx="1146">
                  <c:v>7185.04</c:v>
                </c:pt>
                <c:pt idx="1147">
                  <c:v>7228.09</c:v>
                </c:pt>
                <c:pt idx="1148">
                  <c:v>7183.59</c:v>
                </c:pt>
                <c:pt idx="1149">
                  <c:v>7160.13</c:v>
                </c:pt>
                <c:pt idx="1150">
                  <c:v>7208.94</c:v>
                </c:pt>
                <c:pt idx="1151">
                  <c:v>7267.47</c:v>
                </c:pt>
                <c:pt idx="1152">
                  <c:v>7350.43</c:v>
                </c:pt>
                <c:pt idx="1153">
                  <c:v>7323.53</c:v>
                </c:pt>
                <c:pt idx="1154">
                  <c:v>7339.11</c:v>
                </c:pt>
                <c:pt idx="1155">
                  <c:v>7269.35</c:v>
                </c:pt>
                <c:pt idx="1156">
                  <c:v>7241.15</c:v>
                </c:pt>
                <c:pt idx="1157">
                  <c:v>7346.8</c:v>
                </c:pt>
                <c:pt idx="1158">
                  <c:v>7395.03</c:v>
                </c:pt>
                <c:pt idx="1159">
                  <c:v>7284.64</c:v>
                </c:pt>
                <c:pt idx="1160">
                  <c:v>7191.13</c:v>
                </c:pt>
                <c:pt idx="1161">
                  <c:v>7027.44</c:v>
                </c:pt>
                <c:pt idx="1162">
                  <c:v>6676.97</c:v>
                </c:pt>
                <c:pt idx="1163">
                  <c:v>6732.31</c:v>
                </c:pt>
                <c:pt idx="1164">
                  <c:v>6742.04</c:v>
                </c:pt>
                <c:pt idx="1165">
                  <c:v>6881.25</c:v>
                </c:pt>
                <c:pt idx="1166">
                  <c:v>6935.24</c:v>
                </c:pt>
                <c:pt idx="1167">
                  <c:v>6943.32</c:v>
                </c:pt>
                <c:pt idx="1168">
                  <c:v>6985.79</c:v>
                </c:pt>
                <c:pt idx="1169">
                  <c:v>6964.94</c:v>
                </c:pt>
                <c:pt idx="1170">
                  <c:v>7004.46</c:v>
                </c:pt>
                <c:pt idx="1171">
                  <c:v>7097.05</c:v>
                </c:pt>
                <c:pt idx="1172">
                  <c:v>7042.48</c:v>
                </c:pt>
                <c:pt idx="1173">
                  <c:v>6979.26</c:v>
                </c:pt>
                <c:pt idx="1174">
                  <c:v>6972.97</c:v>
                </c:pt>
                <c:pt idx="1175">
                  <c:v>6949.41</c:v>
                </c:pt>
                <c:pt idx="1176">
                  <c:v>6860.36</c:v>
                </c:pt>
                <c:pt idx="1177">
                  <c:v>6856.78</c:v>
                </c:pt>
                <c:pt idx="1178">
                  <c:v>6729.65</c:v>
                </c:pt>
                <c:pt idx="1179">
                  <c:v>6737.59</c:v>
                </c:pt>
                <c:pt idx="1180">
                  <c:v>6799.79</c:v>
                </c:pt>
                <c:pt idx="1181">
                  <c:v>6684.96</c:v>
                </c:pt>
                <c:pt idx="1182">
                  <c:v>6661.88</c:v>
                </c:pt>
                <c:pt idx="1183">
                  <c:v>6590.05</c:v>
                </c:pt>
                <c:pt idx="1184">
                  <c:v>6518.36</c:v>
                </c:pt>
                <c:pt idx="1185">
                  <c:v>6555.17</c:v>
                </c:pt>
                <c:pt idx="1186">
                  <c:v>6589.18</c:v>
                </c:pt>
                <c:pt idx="1187">
                  <c:v>6504.76</c:v>
                </c:pt>
                <c:pt idx="1188">
                  <c:v>6518.94</c:v>
                </c:pt>
                <c:pt idx="1189">
                  <c:v>6598.51</c:v>
                </c:pt>
                <c:pt idx="1190">
                  <c:v>6519.71</c:v>
                </c:pt>
                <c:pt idx="1191">
                  <c:v>6537.51</c:v>
                </c:pt>
                <c:pt idx="1192">
                  <c:v>6484.83</c:v>
                </c:pt>
                <c:pt idx="1193">
                  <c:v>6449.04</c:v>
                </c:pt>
                <c:pt idx="1194">
                  <c:v>6377.45</c:v>
                </c:pt>
                <c:pt idx="1195">
                  <c:v>6296.37</c:v>
                </c:pt>
                <c:pt idx="1196">
                  <c:v>6383.64</c:v>
                </c:pt>
                <c:pt idx="1197">
                  <c:v>6249.64</c:v>
                </c:pt>
                <c:pt idx="1198">
                  <c:v>6354.23</c:v>
                </c:pt>
                <c:pt idx="1199">
                  <c:v>6357.32</c:v>
                </c:pt>
                <c:pt idx="1200">
                  <c:v>6344.84</c:v>
                </c:pt>
                <c:pt idx="1201">
                  <c:v>6424.56</c:v>
                </c:pt>
                <c:pt idx="1202">
                  <c:v>6457.75</c:v>
                </c:pt>
                <c:pt idx="1203">
                  <c:v>6434.04</c:v>
                </c:pt>
                <c:pt idx="1204">
                  <c:v>6428.63</c:v>
                </c:pt>
                <c:pt idx="1205">
                  <c:v>6305.37</c:v>
                </c:pt>
                <c:pt idx="1206">
                  <c:v>6433.32</c:v>
                </c:pt>
                <c:pt idx="1207">
                  <c:v>6435.59</c:v>
                </c:pt>
                <c:pt idx="1208">
                  <c:v>6596.63</c:v>
                </c:pt>
                <c:pt idx="1209">
                  <c:v>6306.58</c:v>
                </c:pt>
                <c:pt idx="1210">
                  <c:v>6607.85</c:v>
                </c:pt>
                <c:pt idx="1211">
                  <c:v>6604.46</c:v>
                </c:pt>
                <c:pt idx="1212">
                  <c:v>6641.56</c:v>
                </c:pt>
                <c:pt idx="1213">
                  <c:v>6532.29</c:v>
                </c:pt>
                <c:pt idx="1214">
                  <c:v>6548.16</c:v>
                </c:pt>
              </c:numCache>
            </c:numRef>
          </c:val>
          <c:smooth val="0"/>
          <c:extLst>
            <c:ext xmlns:c16="http://schemas.microsoft.com/office/drawing/2014/chart" uri="{C3380CC4-5D6E-409C-BE32-E72D297353CC}">
              <c16:uniqueId val="{00000000-7C7E-4584-9959-464182DC8E32}"/>
            </c:ext>
          </c:extLst>
        </c:ser>
        <c:dLbls>
          <c:showLegendKey val="0"/>
          <c:showVal val="0"/>
          <c:showCatName val="0"/>
          <c:showSerName val="0"/>
          <c:showPercent val="0"/>
          <c:showBubbleSize val="0"/>
        </c:dLbls>
        <c:smooth val="0"/>
        <c:axId val="1733353152"/>
        <c:axId val="1733338272"/>
      </c:lineChart>
      <c:dateAx>
        <c:axId val="17333531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88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38272"/>
        <c:crossesAt val="2000"/>
        <c:auto val="1"/>
        <c:lblOffset val="100"/>
        <c:baseTimeUnit val="days"/>
      </c:dateAx>
      <c:valAx>
        <c:axId val="1733338272"/>
        <c:scaling>
          <c:orientation val="minMax"/>
          <c:max val="18000"/>
          <c:min val="200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531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Input!$E$10</c:f>
              <c:strCache>
                <c:ptCount val="1"/>
                <c:pt idx="0">
                  <c:v>Volume</c:v>
                </c:pt>
              </c:strCache>
            </c:strRef>
          </c:tx>
          <c:spPr>
            <a:solidFill>
              <a:schemeClr val="accent1">
                <a:tint val="55000"/>
              </a:schemeClr>
            </a:solidFill>
            <a:ln w="9525" cap="flat" cmpd="sng" algn="ctr">
              <a:solidFill>
                <a:schemeClr val="bg1">
                  <a:lumMod val="65000"/>
                </a:schemeClr>
              </a:solidFill>
              <a:round/>
            </a:ln>
            <a:effectLst/>
          </c:spPr>
          <c:invertIfNegative val="0"/>
          <c:cat>
            <c:numRef>
              <c:f>Input!$C$11:$C$1225</c:f>
              <c:numCache>
                <c:formatCode>dd\-mm\-yyyy</c:formatCode>
                <c:ptCount val="1215"/>
                <c:pt idx="0">
                  <c:v>46114</c:v>
                </c:pt>
                <c:pt idx="1">
                  <c:v>46113</c:v>
                </c:pt>
                <c:pt idx="2">
                  <c:v>46111</c:v>
                </c:pt>
                <c:pt idx="3">
                  <c:v>46108</c:v>
                </c:pt>
                <c:pt idx="4">
                  <c:v>46106</c:v>
                </c:pt>
                <c:pt idx="5">
                  <c:v>46105</c:v>
                </c:pt>
                <c:pt idx="6">
                  <c:v>46104</c:v>
                </c:pt>
                <c:pt idx="7">
                  <c:v>46100</c:v>
                </c:pt>
                <c:pt idx="8">
                  <c:v>46099</c:v>
                </c:pt>
                <c:pt idx="9">
                  <c:v>46101</c:v>
                </c:pt>
                <c:pt idx="12">
                  <c:v>46098</c:v>
                </c:pt>
                <c:pt idx="13">
                  <c:v>46097</c:v>
                </c:pt>
                <c:pt idx="14">
                  <c:v>46094</c:v>
                </c:pt>
                <c:pt idx="15">
                  <c:v>46093</c:v>
                </c:pt>
                <c:pt idx="16">
                  <c:v>46091</c:v>
                </c:pt>
                <c:pt idx="17">
                  <c:v>46090</c:v>
                </c:pt>
                <c:pt idx="18">
                  <c:v>46087</c:v>
                </c:pt>
                <c:pt idx="19">
                  <c:v>46086</c:v>
                </c:pt>
                <c:pt idx="20">
                  <c:v>46085</c:v>
                </c:pt>
                <c:pt idx="21">
                  <c:v>46083</c:v>
                </c:pt>
                <c:pt idx="22">
                  <c:v>46080</c:v>
                </c:pt>
                <c:pt idx="23">
                  <c:v>46079</c:v>
                </c:pt>
                <c:pt idx="24">
                  <c:v>46078</c:v>
                </c:pt>
                <c:pt idx="25">
                  <c:v>46077</c:v>
                </c:pt>
                <c:pt idx="26">
                  <c:v>46076</c:v>
                </c:pt>
                <c:pt idx="27">
                  <c:v>46073</c:v>
                </c:pt>
                <c:pt idx="28">
                  <c:v>46072</c:v>
                </c:pt>
                <c:pt idx="29">
                  <c:v>46071</c:v>
                </c:pt>
                <c:pt idx="30">
                  <c:v>46070</c:v>
                </c:pt>
                <c:pt idx="31">
                  <c:v>46069</c:v>
                </c:pt>
                <c:pt idx="32">
                  <c:v>46066</c:v>
                </c:pt>
                <c:pt idx="33">
                  <c:v>46065</c:v>
                </c:pt>
                <c:pt idx="34">
                  <c:v>46064</c:v>
                </c:pt>
                <c:pt idx="35">
                  <c:v>46063</c:v>
                </c:pt>
                <c:pt idx="36">
                  <c:v>46062</c:v>
                </c:pt>
                <c:pt idx="37">
                  <c:v>46059</c:v>
                </c:pt>
                <c:pt idx="38">
                  <c:v>46058</c:v>
                </c:pt>
                <c:pt idx="39">
                  <c:v>46057</c:v>
                </c:pt>
                <c:pt idx="40">
                  <c:v>46056</c:v>
                </c:pt>
                <c:pt idx="41">
                  <c:v>46055</c:v>
                </c:pt>
                <c:pt idx="42">
                  <c:v>46052</c:v>
                </c:pt>
                <c:pt idx="43">
                  <c:v>46051</c:v>
                </c:pt>
                <c:pt idx="44">
                  <c:v>46050</c:v>
                </c:pt>
                <c:pt idx="45">
                  <c:v>46049</c:v>
                </c:pt>
                <c:pt idx="46">
                  <c:v>46045</c:v>
                </c:pt>
                <c:pt idx="47">
                  <c:v>46044</c:v>
                </c:pt>
                <c:pt idx="48">
                  <c:v>46043</c:v>
                </c:pt>
                <c:pt idx="49">
                  <c:v>46042</c:v>
                </c:pt>
                <c:pt idx="50">
                  <c:v>46041</c:v>
                </c:pt>
                <c:pt idx="51">
                  <c:v>46038</c:v>
                </c:pt>
                <c:pt idx="52">
                  <c:v>46036</c:v>
                </c:pt>
                <c:pt idx="53">
                  <c:v>46035</c:v>
                </c:pt>
                <c:pt idx="54">
                  <c:v>46034</c:v>
                </c:pt>
                <c:pt idx="55">
                  <c:v>46031</c:v>
                </c:pt>
                <c:pt idx="56">
                  <c:v>46030</c:v>
                </c:pt>
                <c:pt idx="57">
                  <c:v>46029</c:v>
                </c:pt>
                <c:pt idx="58">
                  <c:v>46028</c:v>
                </c:pt>
                <c:pt idx="59">
                  <c:v>46027</c:v>
                </c:pt>
                <c:pt idx="60">
                  <c:v>46024</c:v>
                </c:pt>
                <c:pt idx="61">
                  <c:v>46023</c:v>
                </c:pt>
                <c:pt idx="62">
                  <c:v>46022</c:v>
                </c:pt>
                <c:pt idx="63">
                  <c:v>46021</c:v>
                </c:pt>
                <c:pt idx="64">
                  <c:v>46020</c:v>
                </c:pt>
                <c:pt idx="65">
                  <c:v>46017</c:v>
                </c:pt>
                <c:pt idx="66">
                  <c:v>46015</c:v>
                </c:pt>
                <c:pt idx="67">
                  <c:v>46014</c:v>
                </c:pt>
                <c:pt idx="68">
                  <c:v>46013</c:v>
                </c:pt>
                <c:pt idx="69">
                  <c:v>46010</c:v>
                </c:pt>
                <c:pt idx="70">
                  <c:v>46009</c:v>
                </c:pt>
                <c:pt idx="71">
                  <c:v>46008</c:v>
                </c:pt>
                <c:pt idx="72">
                  <c:v>46007</c:v>
                </c:pt>
                <c:pt idx="73">
                  <c:v>46006</c:v>
                </c:pt>
                <c:pt idx="74">
                  <c:v>46003</c:v>
                </c:pt>
                <c:pt idx="75">
                  <c:v>46002</c:v>
                </c:pt>
                <c:pt idx="76">
                  <c:v>46001</c:v>
                </c:pt>
                <c:pt idx="77">
                  <c:v>46000</c:v>
                </c:pt>
                <c:pt idx="78">
                  <c:v>45999</c:v>
                </c:pt>
                <c:pt idx="79">
                  <c:v>45996</c:v>
                </c:pt>
                <c:pt idx="80">
                  <c:v>45995</c:v>
                </c:pt>
                <c:pt idx="81">
                  <c:v>45994</c:v>
                </c:pt>
                <c:pt idx="82">
                  <c:v>45993</c:v>
                </c:pt>
                <c:pt idx="83">
                  <c:v>45992</c:v>
                </c:pt>
                <c:pt idx="84">
                  <c:v>45989</c:v>
                </c:pt>
                <c:pt idx="85">
                  <c:v>45988</c:v>
                </c:pt>
                <c:pt idx="86">
                  <c:v>45987</c:v>
                </c:pt>
                <c:pt idx="87">
                  <c:v>45986</c:v>
                </c:pt>
                <c:pt idx="88">
                  <c:v>45985</c:v>
                </c:pt>
                <c:pt idx="89">
                  <c:v>45982</c:v>
                </c:pt>
                <c:pt idx="90">
                  <c:v>45981</c:v>
                </c:pt>
                <c:pt idx="91">
                  <c:v>45980</c:v>
                </c:pt>
                <c:pt idx="92">
                  <c:v>45979</c:v>
                </c:pt>
                <c:pt idx="93">
                  <c:v>45978</c:v>
                </c:pt>
                <c:pt idx="94">
                  <c:v>45975</c:v>
                </c:pt>
                <c:pt idx="95">
                  <c:v>45974</c:v>
                </c:pt>
                <c:pt idx="96">
                  <c:v>45973</c:v>
                </c:pt>
                <c:pt idx="97">
                  <c:v>45972</c:v>
                </c:pt>
                <c:pt idx="98">
                  <c:v>45971</c:v>
                </c:pt>
                <c:pt idx="99">
                  <c:v>45968</c:v>
                </c:pt>
                <c:pt idx="100">
                  <c:v>45967</c:v>
                </c:pt>
                <c:pt idx="101">
                  <c:v>45965</c:v>
                </c:pt>
                <c:pt idx="102">
                  <c:v>45964</c:v>
                </c:pt>
                <c:pt idx="103">
                  <c:v>45961</c:v>
                </c:pt>
                <c:pt idx="104">
                  <c:v>45960</c:v>
                </c:pt>
                <c:pt idx="105">
                  <c:v>45959</c:v>
                </c:pt>
                <c:pt idx="106">
                  <c:v>45958</c:v>
                </c:pt>
                <c:pt idx="107">
                  <c:v>45957</c:v>
                </c:pt>
                <c:pt idx="108">
                  <c:v>45954</c:v>
                </c:pt>
                <c:pt idx="109">
                  <c:v>45953</c:v>
                </c:pt>
                <c:pt idx="110">
                  <c:v>45951</c:v>
                </c:pt>
                <c:pt idx="111">
                  <c:v>45950</c:v>
                </c:pt>
                <c:pt idx="112">
                  <c:v>45947</c:v>
                </c:pt>
                <c:pt idx="113">
                  <c:v>45946</c:v>
                </c:pt>
                <c:pt idx="114">
                  <c:v>45945</c:v>
                </c:pt>
                <c:pt idx="115">
                  <c:v>45944</c:v>
                </c:pt>
                <c:pt idx="116">
                  <c:v>45943</c:v>
                </c:pt>
                <c:pt idx="117">
                  <c:v>45940</c:v>
                </c:pt>
                <c:pt idx="118">
                  <c:v>45939</c:v>
                </c:pt>
                <c:pt idx="119">
                  <c:v>45938</c:v>
                </c:pt>
                <c:pt idx="120">
                  <c:v>45937</c:v>
                </c:pt>
                <c:pt idx="121">
                  <c:v>45936</c:v>
                </c:pt>
                <c:pt idx="122">
                  <c:v>45933</c:v>
                </c:pt>
                <c:pt idx="123">
                  <c:v>45931</c:v>
                </c:pt>
                <c:pt idx="124">
                  <c:v>45930</c:v>
                </c:pt>
                <c:pt idx="125">
                  <c:v>45929</c:v>
                </c:pt>
                <c:pt idx="126">
                  <c:v>45926</c:v>
                </c:pt>
                <c:pt idx="127">
                  <c:v>45925</c:v>
                </c:pt>
                <c:pt idx="128">
                  <c:v>45924</c:v>
                </c:pt>
                <c:pt idx="129">
                  <c:v>45923</c:v>
                </c:pt>
                <c:pt idx="130">
                  <c:v>45922</c:v>
                </c:pt>
                <c:pt idx="131">
                  <c:v>45919</c:v>
                </c:pt>
                <c:pt idx="132">
                  <c:v>45918</c:v>
                </c:pt>
                <c:pt idx="133">
                  <c:v>45917</c:v>
                </c:pt>
                <c:pt idx="134">
                  <c:v>45916</c:v>
                </c:pt>
                <c:pt idx="135">
                  <c:v>45915</c:v>
                </c:pt>
                <c:pt idx="136">
                  <c:v>45912</c:v>
                </c:pt>
                <c:pt idx="137">
                  <c:v>45911</c:v>
                </c:pt>
                <c:pt idx="138">
                  <c:v>45910</c:v>
                </c:pt>
                <c:pt idx="139">
                  <c:v>45909</c:v>
                </c:pt>
                <c:pt idx="140">
                  <c:v>45908</c:v>
                </c:pt>
                <c:pt idx="141">
                  <c:v>45905</c:v>
                </c:pt>
                <c:pt idx="142">
                  <c:v>45904</c:v>
                </c:pt>
                <c:pt idx="143">
                  <c:v>45903</c:v>
                </c:pt>
                <c:pt idx="144">
                  <c:v>45902</c:v>
                </c:pt>
                <c:pt idx="145">
                  <c:v>45901</c:v>
                </c:pt>
                <c:pt idx="146">
                  <c:v>45898</c:v>
                </c:pt>
                <c:pt idx="147">
                  <c:v>45897</c:v>
                </c:pt>
                <c:pt idx="148">
                  <c:v>45895</c:v>
                </c:pt>
                <c:pt idx="149">
                  <c:v>45894</c:v>
                </c:pt>
                <c:pt idx="150">
                  <c:v>45891</c:v>
                </c:pt>
                <c:pt idx="151">
                  <c:v>45890</c:v>
                </c:pt>
                <c:pt idx="152">
                  <c:v>45889</c:v>
                </c:pt>
                <c:pt idx="153">
                  <c:v>45888</c:v>
                </c:pt>
                <c:pt idx="154">
                  <c:v>45887</c:v>
                </c:pt>
                <c:pt idx="155">
                  <c:v>45883</c:v>
                </c:pt>
                <c:pt idx="156">
                  <c:v>45882</c:v>
                </c:pt>
                <c:pt idx="157">
                  <c:v>45881</c:v>
                </c:pt>
                <c:pt idx="158">
                  <c:v>45880</c:v>
                </c:pt>
                <c:pt idx="159">
                  <c:v>45877</c:v>
                </c:pt>
                <c:pt idx="160">
                  <c:v>45876</c:v>
                </c:pt>
                <c:pt idx="161">
                  <c:v>45875</c:v>
                </c:pt>
                <c:pt idx="162">
                  <c:v>45874</c:v>
                </c:pt>
                <c:pt idx="163">
                  <c:v>45873</c:v>
                </c:pt>
                <c:pt idx="164">
                  <c:v>45870</c:v>
                </c:pt>
                <c:pt idx="165">
                  <c:v>45869</c:v>
                </c:pt>
                <c:pt idx="166">
                  <c:v>45868</c:v>
                </c:pt>
                <c:pt idx="167">
                  <c:v>45867</c:v>
                </c:pt>
                <c:pt idx="168">
                  <c:v>45866</c:v>
                </c:pt>
                <c:pt idx="169">
                  <c:v>45863</c:v>
                </c:pt>
                <c:pt idx="170">
                  <c:v>45862</c:v>
                </c:pt>
                <c:pt idx="171">
                  <c:v>45861</c:v>
                </c:pt>
                <c:pt idx="172">
                  <c:v>45860</c:v>
                </c:pt>
                <c:pt idx="173">
                  <c:v>45859</c:v>
                </c:pt>
                <c:pt idx="174">
                  <c:v>45856</c:v>
                </c:pt>
                <c:pt idx="175">
                  <c:v>45855</c:v>
                </c:pt>
                <c:pt idx="176">
                  <c:v>45854</c:v>
                </c:pt>
                <c:pt idx="177">
                  <c:v>45853</c:v>
                </c:pt>
                <c:pt idx="178">
                  <c:v>45852</c:v>
                </c:pt>
                <c:pt idx="179">
                  <c:v>45849</c:v>
                </c:pt>
                <c:pt idx="180">
                  <c:v>45848</c:v>
                </c:pt>
                <c:pt idx="181">
                  <c:v>45847</c:v>
                </c:pt>
                <c:pt idx="182">
                  <c:v>45846</c:v>
                </c:pt>
                <c:pt idx="183">
                  <c:v>45845</c:v>
                </c:pt>
                <c:pt idx="184">
                  <c:v>45842</c:v>
                </c:pt>
                <c:pt idx="185">
                  <c:v>45841</c:v>
                </c:pt>
                <c:pt idx="186">
                  <c:v>45840</c:v>
                </c:pt>
                <c:pt idx="187">
                  <c:v>45839</c:v>
                </c:pt>
                <c:pt idx="188">
                  <c:v>45838</c:v>
                </c:pt>
                <c:pt idx="189">
                  <c:v>45835</c:v>
                </c:pt>
                <c:pt idx="190">
                  <c:v>45834</c:v>
                </c:pt>
                <c:pt idx="191">
                  <c:v>45833</c:v>
                </c:pt>
                <c:pt idx="192">
                  <c:v>45832</c:v>
                </c:pt>
                <c:pt idx="193">
                  <c:v>45831</c:v>
                </c:pt>
                <c:pt idx="194">
                  <c:v>45828</c:v>
                </c:pt>
                <c:pt idx="195">
                  <c:v>45827</c:v>
                </c:pt>
                <c:pt idx="196">
                  <c:v>45826</c:v>
                </c:pt>
                <c:pt idx="197">
                  <c:v>45825</c:v>
                </c:pt>
                <c:pt idx="198">
                  <c:v>45824</c:v>
                </c:pt>
                <c:pt idx="199">
                  <c:v>45821</c:v>
                </c:pt>
                <c:pt idx="200">
                  <c:v>45820</c:v>
                </c:pt>
                <c:pt idx="201">
                  <c:v>45819</c:v>
                </c:pt>
                <c:pt idx="202">
                  <c:v>45818</c:v>
                </c:pt>
                <c:pt idx="203">
                  <c:v>45817</c:v>
                </c:pt>
                <c:pt idx="204">
                  <c:v>45814</c:v>
                </c:pt>
                <c:pt idx="205">
                  <c:v>45813</c:v>
                </c:pt>
                <c:pt idx="206">
                  <c:v>45812</c:v>
                </c:pt>
                <c:pt idx="207">
                  <c:v>45811</c:v>
                </c:pt>
                <c:pt idx="208">
                  <c:v>45810</c:v>
                </c:pt>
                <c:pt idx="209">
                  <c:v>45807</c:v>
                </c:pt>
                <c:pt idx="210">
                  <c:v>45806</c:v>
                </c:pt>
                <c:pt idx="211">
                  <c:v>45805</c:v>
                </c:pt>
                <c:pt idx="212">
                  <c:v>45804</c:v>
                </c:pt>
                <c:pt idx="213">
                  <c:v>45803</c:v>
                </c:pt>
                <c:pt idx="214">
                  <c:v>45800</c:v>
                </c:pt>
                <c:pt idx="215">
                  <c:v>45799</c:v>
                </c:pt>
                <c:pt idx="216">
                  <c:v>45798</c:v>
                </c:pt>
                <c:pt idx="217">
                  <c:v>45797</c:v>
                </c:pt>
                <c:pt idx="218">
                  <c:v>45796</c:v>
                </c:pt>
                <c:pt idx="219">
                  <c:v>45793</c:v>
                </c:pt>
                <c:pt idx="220">
                  <c:v>45792</c:v>
                </c:pt>
                <c:pt idx="221">
                  <c:v>45791</c:v>
                </c:pt>
                <c:pt idx="222">
                  <c:v>45790</c:v>
                </c:pt>
                <c:pt idx="223">
                  <c:v>45789</c:v>
                </c:pt>
                <c:pt idx="224">
                  <c:v>45786</c:v>
                </c:pt>
                <c:pt idx="225">
                  <c:v>45785</c:v>
                </c:pt>
                <c:pt idx="226">
                  <c:v>45784</c:v>
                </c:pt>
                <c:pt idx="227">
                  <c:v>45783</c:v>
                </c:pt>
                <c:pt idx="228">
                  <c:v>45782</c:v>
                </c:pt>
                <c:pt idx="229">
                  <c:v>45779</c:v>
                </c:pt>
                <c:pt idx="230">
                  <c:v>45777</c:v>
                </c:pt>
                <c:pt idx="231">
                  <c:v>45776</c:v>
                </c:pt>
                <c:pt idx="232">
                  <c:v>45775</c:v>
                </c:pt>
                <c:pt idx="233">
                  <c:v>45772</c:v>
                </c:pt>
                <c:pt idx="234">
                  <c:v>45771</c:v>
                </c:pt>
                <c:pt idx="235">
                  <c:v>45770</c:v>
                </c:pt>
                <c:pt idx="236">
                  <c:v>45769</c:v>
                </c:pt>
                <c:pt idx="237">
                  <c:v>45768</c:v>
                </c:pt>
                <c:pt idx="238">
                  <c:v>45764</c:v>
                </c:pt>
                <c:pt idx="239">
                  <c:v>45763</c:v>
                </c:pt>
                <c:pt idx="240">
                  <c:v>45762</c:v>
                </c:pt>
                <c:pt idx="241">
                  <c:v>45758</c:v>
                </c:pt>
                <c:pt idx="242">
                  <c:v>45756</c:v>
                </c:pt>
                <c:pt idx="243">
                  <c:v>45755</c:v>
                </c:pt>
                <c:pt idx="244">
                  <c:v>45754</c:v>
                </c:pt>
                <c:pt idx="245">
                  <c:v>45751</c:v>
                </c:pt>
                <c:pt idx="246">
                  <c:v>45750</c:v>
                </c:pt>
                <c:pt idx="247">
                  <c:v>45749</c:v>
                </c:pt>
                <c:pt idx="248">
                  <c:v>45748</c:v>
                </c:pt>
                <c:pt idx="249">
                  <c:v>45744</c:v>
                </c:pt>
                <c:pt idx="250">
                  <c:v>45743</c:v>
                </c:pt>
                <c:pt idx="251">
                  <c:v>45742</c:v>
                </c:pt>
                <c:pt idx="252">
                  <c:v>45741</c:v>
                </c:pt>
                <c:pt idx="253">
                  <c:v>45740</c:v>
                </c:pt>
                <c:pt idx="254">
                  <c:v>45737</c:v>
                </c:pt>
                <c:pt idx="255">
                  <c:v>45736</c:v>
                </c:pt>
                <c:pt idx="256">
                  <c:v>45735</c:v>
                </c:pt>
                <c:pt idx="257">
                  <c:v>45734</c:v>
                </c:pt>
                <c:pt idx="258">
                  <c:v>45733</c:v>
                </c:pt>
                <c:pt idx="259">
                  <c:v>45729</c:v>
                </c:pt>
                <c:pt idx="260">
                  <c:v>45728</c:v>
                </c:pt>
                <c:pt idx="261">
                  <c:v>45727</c:v>
                </c:pt>
                <c:pt idx="262">
                  <c:v>45726</c:v>
                </c:pt>
                <c:pt idx="263">
                  <c:v>45723</c:v>
                </c:pt>
                <c:pt idx="264">
                  <c:v>45722</c:v>
                </c:pt>
                <c:pt idx="265">
                  <c:v>45721</c:v>
                </c:pt>
                <c:pt idx="266">
                  <c:v>45720</c:v>
                </c:pt>
                <c:pt idx="267">
                  <c:v>45719</c:v>
                </c:pt>
                <c:pt idx="268">
                  <c:v>45716</c:v>
                </c:pt>
                <c:pt idx="269">
                  <c:v>45715</c:v>
                </c:pt>
                <c:pt idx="270">
                  <c:v>45713</c:v>
                </c:pt>
                <c:pt idx="271">
                  <c:v>45712</c:v>
                </c:pt>
                <c:pt idx="272">
                  <c:v>45709</c:v>
                </c:pt>
                <c:pt idx="273">
                  <c:v>45708</c:v>
                </c:pt>
                <c:pt idx="274">
                  <c:v>45707</c:v>
                </c:pt>
                <c:pt idx="275">
                  <c:v>45706</c:v>
                </c:pt>
                <c:pt idx="276">
                  <c:v>45705</c:v>
                </c:pt>
                <c:pt idx="277">
                  <c:v>45702</c:v>
                </c:pt>
                <c:pt idx="278">
                  <c:v>45701</c:v>
                </c:pt>
                <c:pt idx="279">
                  <c:v>45700</c:v>
                </c:pt>
                <c:pt idx="280">
                  <c:v>45699</c:v>
                </c:pt>
                <c:pt idx="281">
                  <c:v>45698</c:v>
                </c:pt>
                <c:pt idx="282">
                  <c:v>45695</c:v>
                </c:pt>
                <c:pt idx="283">
                  <c:v>45694</c:v>
                </c:pt>
                <c:pt idx="284">
                  <c:v>45693</c:v>
                </c:pt>
                <c:pt idx="285">
                  <c:v>45692</c:v>
                </c:pt>
                <c:pt idx="286">
                  <c:v>45691</c:v>
                </c:pt>
                <c:pt idx="287">
                  <c:v>45689</c:v>
                </c:pt>
                <c:pt idx="288">
                  <c:v>45688</c:v>
                </c:pt>
                <c:pt idx="289">
                  <c:v>45687</c:v>
                </c:pt>
                <c:pt idx="290">
                  <c:v>45686</c:v>
                </c:pt>
                <c:pt idx="291">
                  <c:v>45685</c:v>
                </c:pt>
                <c:pt idx="292">
                  <c:v>45684</c:v>
                </c:pt>
                <c:pt idx="293">
                  <c:v>45681</c:v>
                </c:pt>
                <c:pt idx="294">
                  <c:v>45680</c:v>
                </c:pt>
                <c:pt idx="295">
                  <c:v>45679</c:v>
                </c:pt>
                <c:pt idx="296">
                  <c:v>45678</c:v>
                </c:pt>
                <c:pt idx="297">
                  <c:v>45677</c:v>
                </c:pt>
                <c:pt idx="298">
                  <c:v>45674</c:v>
                </c:pt>
                <c:pt idx="299">
                  <c:v>45673</c:v>
                </c:pt>
                <c:pt idx="300">
                  <c:v>45672</c:v>
                </c:pt>
                <c:pt idx="301">
                  <c:v>45671</c:v>
                </c:pt>
                <c:pt idx="302">
                  <c:v>45670</c:v>
                </c:pt>
                <c:pt idx="303">
                  <c:v>45667</c:v>
                </c:pt>
                <c:pt idx="304">
                  <c:v>45666</c:v>
                </c:pt>
                <c:pt idx="305">
                  <c:v>45665</c:v>
                </c:pt>
                <c:pt idx="306">
                  <c:v>45664</c:v>
                </c:pt>
                <c:pt idx="307">
                  <c:v>45663</c:v>
                </c:pt>
                <c:pt idx="308">
                  <c:v>45660</c:v>
                </c:pt>
                <c:pt idx="309">
                  <c:v>45659</c:v>
                </c:pt>
                <c:pt idx="310">
                  <c:v>45658</c:v>
                </c:pt>
                <c:pt idx="311">
                  <c:v>45657</c:v>
                </c:pt>
                <c:pt idx="312">
                  <c:v>45656</c:v>
                </c:pt>
                <c:pt idx="313">
                  <c:v>45653</c:v>
                </c:pt>
                <c:pt idx="314">
                  <c:v>45652</c:v>
                </c:pt>
                <c:pt idx="315">
                  <c:v>45650</c:v>
                </c:pt>
                <c:pt idx="316">
                  <c:v>45649</c:v>
                </c:pt>
                <c:pt idx="317">
                  <c:v>45646</c:v>
                </c:pt>
                <c:pt idx="318">
                  <c:v>45645</c:v>
                </c:pt>
                <c:pt idx="319">
                  <c:v>45644</c:v>
                </c:pt>
                <c:pt idx="320">
                  <c:v>45643</c:v>
                </c:pt>
                <c:pt idx="321">
                  <c:v>45642</c:v>
                </c:pt>
                <c:pt idx="322">
                  <c:v>45639</c:v>
                </c:pt>
                <c:pt idx="323">
                  <c:v>45638</c:v>
                </c:pt>
                <c:pt idx="324">
                  <c:v>45637</c:v>
                </c:pt>
                <c:pt idx="325">
                  <c:v>45636</c:v>
                </c:pt>
                <c:pt idx="326">
                  <c:v>45635</c:v>
                </c:pt>
                <c:pt idx="327">
                  <c:v>45632</c:v>
                </c:pt>
                <c:pt idx="328">
                  <c:v>45631</c:v>
                </c:pt>
                <c:pt idx="329">
                  <c:v>45630</c:v>
                </c:pt>
                <c:pt idx="330">
                  <c:v>45629</c:v>
                </c:pt>
                <c:pt idx="331">
                  <c:v>45628</c:v>
                </c:pt>
                <c:pt idx="332">
                  <c:v>45625</c:v>
                </c:pt>
                <c:pt idx="333">
                  <c:v>45624</c:v>
                </c:pt>
                <c:pt idx="334">
                  <c:v>45623</c:v>
                </c:pt>
                <c:pt idx="335">
                  <c:v>45622</c:v>
                </c:pt>
                <c:pt idx="336">
                  <c:v>45621</c:v>
                </c:pt>
                <c:pt idx="337">
                  <c:v>45618</c:v>
                </c:pt>
                <c:pt idx="338">
                  <c:v>45617</c:v>
                </c:pt>
                <c:pt idx="339">
                  <c:v>45615</c:v>
                </c:pt>
                <c:pt idx="340">
                  <c:v>45614</c:v>
                </c:pt>
                <c:pt idx="341">
                  <c:v>45610</c:v>
                </c:pt>
                <c:pt idx="342">
                  <c:v>45609</c:v>
                </c:pt>
                <c:pt idx="343">
                  <c:v>45608</c:v>
                </c:pt>
                <c:pt idx="344">
                  <c:v>45607</c:v>
                </c:pt>
                <c:pt idx="345">
                  <c:v>45604</c:v>
                </c:pt>
                <c:pt idx="346">
                  <c:v>45603</c:v>
                </c:pt>
                <c:pt idx="347">
                  <c:v>45602</c:v>
                </c:pt>
                <c:pt idx="348">
                  <c:v>45600</c:v>
                </c:pt>
                <c:pt idx="349">
                  <c:v>45597</c:v>
                </c:pt>
                <c:pt idx="350">
                  <c:v>45596</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45530</c:v>
                </c:pt>
                <c:pt idx="396">
                  <c:v>45527</c:v>
                </c:pt>
                <c:pt idx="397">
                  <c:v>45526</c:v>
                </c:pt>
                <c:pt idx="398">
                  <c:v>45525</c:v>
                </c:pt>
                <c:pt idx="399">
                  <c:v>45524</c:v>
                </c:pt>
                <c:pt idx="400">
                  <c:v>45523</c:v>
                </c:pt>
                <c:pt idx="401">
                  <c:v>45520</c:v>
                </c:pt>
                <c:pt idx="402">
                  <c:v>45518</c:v>
                </c:pt>
                <c:pt idx="403">
                  <c:v>45517</c:v>
                </c:pt>
                <c:pt idx="404">
                  <c:v>45516</c:v>
                </c:pt>
                <c:pt idx="405">
                  <c:v>45513</c:v>
                </c:pt>
                <c:pt idx="406">
                  <c:v>45512</c:v>
                </c:pt>
                <c:pt idx="407">
                  <c:v>45511</c:v>
                </c:pt>
                <c:pt idx="408">
                  <c:v>45510</c:v>
                </c:pt>
                <c:pt idx="409">
                  <c:v>45509</c:v>
                </c:pt>
                <c:pt idx="410">
                  <c:v>45506</c:v>
                </c:pt>
                <c:pt idx="411">
                  <c:v>45505</c:v>
                </c:pt>
                <c:pt idx="412">
                  <c:v>45504</c:v>
                </c:pt>
                <c:pt idx="413">
                  <c:v>45503</c:v>
                </c:pt>
                <c:pt idx="414">
                  <c:v>45502</c:v>
                </c:pt>
                <c:pt idx="415">
                  <c:v>45499</c:v>
                </c:pt>
                <c:pt idx="416">
                  <c:v>45498</c:v>
                </c:pt>
                <c:pt idx="417">
                  <c:v>45497</c:v>
                </c:pt>
                <c:pt idx="418">
                  <c:v>45496</c:v>
                </c:pt>
                <c:pt idx="419">
                  <c:v>45495</c:v>
                </c:pt>
                <c:pt idx="420">
                  <c:v>45492</c:v>
                </c:pt>
                <c:pt idx="421">
                  <c:v>45491</c:v>
                </c:pt>
                <c:pt idx="422">
                  <c:v>45489</c:v>
                </c:pt>
                <c:pt idx="423">
                  <c:v>45488</c:v>
                </c:pt>
                <c:pt idx="424">
                  <c:v>45485</c:v>
                </c:pt>
                <c:pt idx="425">
                  <c:v>45484</c:v>
                </c:pt>
                <c:pt idx="426">
                  <c:v>45483</c:v>
                </c:pt>
                <c:pt idx="427">
                  <c:v>45482</c:v>
                </c:pt>
                <c:pt idx="428">
                  <c:v>45481</c:v>
                </c:pt>
                <c:pt idx="429">
                  <c:v>45478</c:v>
                </c:pt>
                <c:pt idx="430">
                  <c:v>45477</c:v>
                </c:pt>
                <c:pt idx="431">
                  <c:v>45476</c:v>
                </c:pt>
                <c:pt idx="432">
                  <c:v>45475</c:v>
                </c:pt>
                <c:pt idx="433">
                  <c:v>45474</c:v>
                </c:pt>
                <c:pt idx="434">
                  <c:v>45471</c:v>
                </c:pt>
                <c:pt idx="435">
                  <c:v>45470</c:v>
                </c:pt>
                <c:pt idx="436">
                  <c:v>45469</c:v>
                </c:pt>
                <c:pt idx="437">
                  <c:v>45468</c:v>
                </c:pt>
                <c:pt idx="438">
                  <c:v>45467</c:v>
                </c:pt>
                <c:pt idx="439">
                  <c:v>45464</c:v>
                </c:pt>
                <c:pt idx="440">
                  <c:v>45463</c:v>
                </c:pt>
                <c:pt idx="441">
                  <c:v>45462</c:v>
                </c:pt>
                <c:pt idx="442">
                  <c:v>45461</c:v>
                </c:pt>
                <c:pt idx="443">
                  <c:v>45457</c:v>
                </c:pt>
                <c:pt idx="444">
                  <c:v>45456</c:v>
                </c:pt>
                <c:pt idx="445">
                  <c:v>45455</c:v>
                </c:pt>
                <c:pt idx="446">
                  <c:v>45454</c:v>
                </c:pt>
                <c:pt idx="447">
                  <c:v>45453</c:v>
                </c:pt>
                <c:pt idx="448">
                  <c:v>45450</c:v>
                </c:pt>
                <c:pt idx="449">
                  <c:v>45449</c:v>
                </c:pt>
                <c:pt idx="450">
                  <c:v>45448</c:v>
                </c:pt>
                <c:pt idx="451">
                  <c:v>45447</c:v>
                </c:pt>
                <c:pt idx="452">
                  <c:v>45446</c:v>
                </c:pt>
                <c:pt idx="453">
                  <c:v>45443</c:v>
                </c:pt>
                <c:pt idx="454">
                  <c:v>45442</c:v>
                </c:pt>
                <c:pt idx="455">
                  <c:v>45441</c:v>
                </c:pt>
                <c:pt idx="456">
                  <c:v>45440</c:v>
                </c:pt>
                <c:pt idx="457">
                  <c:v>45439</c:v>
                </c:pt>
                <c:pt idx="458">
                  <c:v>45436</c:v>
                </c:pt>
                <c:pt idx="459">
                  <c:v>45435</c:v>
                </c:pt>
                <c:pt idx="460">
                  <c:v>45434</c:v>
                </c:pt>
                <c:pt idx="461">
                  <c:v>45433</c:v>
                </c:pt>
                <c:pt idx="462">
                  <c:v>45429</c:v>
                </c:pt>
                <c:pt idx="463">
                  <c:v>45428</c:v>
                </c:pt>
                <c:pt idx="464">
                  <c:v>45427</c:v>
                </c:pt>
                <c:pt idx="465">
                  <c:v>45426</c:v>
                </c:pt>
                <c:pt idx="466">
                  <c:v>45425</c:v>
                </c:pt>
                <c:pt idx="467">
                  <c:v>45422</c:v>
                </c:pt>
                <c:pt idx="468">
                  <c:v>45421</c:v>
                </c:pt>
                <c:pt idx="469">
                  <c:v>45420</c:v>
                </c:pt>
                <c:pt idx="470">
                  <c:v>45419</c:v>
                </c:pt>
                <c:pt idx="471">
                  <c:v>45418</c:v>
                </c:pt>
                <c:pt idx="472">
                  <c:v>45415</c:v>
                </c:pt>
                <c:pt idx="473">
                  <c:v>45414</c:v>
                </c:pt>
                <c:pt idx="474">
                  <c:v>45412</c:v>
                </c:pt>
                <c:pt idx="475">
                  <c:v>45411</c:v>
                </c:pt>
                <c:pt idx="476">
                  <c:v>45408</c:v>
                </c:pt>
                <c:pt idx="477">
                  <c:v>45407</c:v>
                </c:pt>
                <c:pt idx="478">
                  <c:v>45406</c:v>
                </c:pt>
                <c:pt idx="479">
                  <c:v>45405</c:v>
                </c:pt>
                <c:pt idx="480">
                  <c:v>45404</c:v>
                </c:pt>
                <c:pt idx="481">
                  <c:v>45401</c:v>
                </c:pt>
                <c:pt idx="482">
                  <c:v>45400</c:v>
                </c:pt>
                <c:pt idx="483">
                  <c:v>45398</c:v>
                </c:pt>
                <c:pt idx="484">
                  <c:v>45397</c:v>
                </c:pt>
                <c:pt idx="485">
                  <c:v>45394</c:v>
                </c:pt>
                <c:pt idx="486">
                  <c:v>45392</c:v>
                </c:pt>
                <c:pt idx="487">
                  <c:v>45391</c:v>
                </c:pt>
                <c:pt idx="488">
                  <c:v>45390</c:v>
                </c:pt>
                <c:pt idx="489">
                  <c:v>45387</c:v>
                </c:pt>
                <c:pt idx="490">
                  <c:v>45386</c:v>
                </c:pt>
                <c:pt idx="491">
                  <c:v>45385</c:v>
                </c:pt>
                <c:pt idx="492">
                  <c:v>45384</c:v>
                </c:pt>
                <c:pt idx="493">
                  <c:v>45383</c:v>
                </c:pt>
                <c:pt idx="494">
                  <c:v>45379</c:v>
                </c:pt>
                <c:pt idx="495">
                  <c:v>45378</c:v>
                </c:pt>
                <c:pt idx="496">
                  <c:v>45377</c:v>
                </c:pt>
                <c:pt idx="497">
                  <c:v>45373</c:v>
                </c:pt>
                <c:pt idx="498">
                  <c:v>45372</c:v>
                </c:pt>
                <c:pt idx="499">
                  <c:v>45371</c:v>
                </c:pt>
                <c:pt idx="500">
                  <c:v>45370</c:v>
                </c:pt>
                <c:pt idx="501">
                  <c:v>45369</c:v>
                </c:pt>
                <c:pt idx="502">
                  <c:v>45366</c:v>
                </c:pt>
                <c:pt idx="503">
                  <c:v>45365</c:v>
                </c:pt>
                <c:pt idx="504">
                  <c:v>45364</c:v>
                </c:pt>
                <c:pt idx="505">
                  <c:v>45363</c:v>
                </c:pt>
                <c:pt idx="506">
                  <c:v>45362</c:v>
                </c:pt>
                <c:pt idx="507">
                  <c:v>45358</c:v>
                </c:pt>
                <c:pt idx="508">
                  <c:v>45357</c:v>
                </c:pt>
                <c:pt idx="509">
                  <c:v>45356</c:v>
                </c:pt>
                <c:pt idx="510">
                  <c:v>45355</c:v>
                </c:pt>
                <c:pt idx="511">
                  <c:v>45352</c:v>
                </c:pt>
                <c:pt idx="512">
                  <c:v>45351</c:v>
                </c:pt>
                <c:pt idx="513">
                  <c:v>45350</c:v>
                </c:pt>
                <c:pt idx="514">
                  <c:v>45349</c:v>
                </c:pt>
                <c:pt idx="515">
                  <c:v>45348</c:v>
                </c:pt>
                <c:pt idx="516">
                  <c:v>45345</c:v>
                </c:pt>
                <c:pt idx="517">
                  <c:v>45344</c:v>
                </c:pt>
                <c:pt idx="518">
                  <c:v>45343</c:v>
                </c:pt>
                <c:pt idx="519">
                  <c:v>45342</c:v>
                </c:pt>
                <c:pt idx="520">
                  <c:v>45341</c:v>
                </c:pt>
                <c:pt idx="521">
                  <c:v>45338</c:v>
                </c:pt>
                <c:pt idx="522">
                  <c:v>45337</c:v>
                </c:pt>
                <c:pt idx="523">
                  <c:v>45336</c:v>
                </c:pt>
                <c:pt idx="524">
                  <c:v>45335</c:v>
                </c:pt>
                <c:pt idx="525">
                  <c:v>45334</c:v>
                </c:pt>
                <c:pt idx="526">
                  <c:v>45331</c:v>
                </c:pt>
                <c:pt idx="527">
                  <c:v>45330</c:v>
                </c:pt>
                <c:pt idx="528">
                  <c:v>45329</c:v>
                </c:pt>
                <c:pt idx="529">
                  <c:v>45328</c:v>
                </c:pt>
                <c:pt idx="530">
                  <c:v>45327</c:v>
                </c:pt>
                <c:pt idx="531">
                  <c:v>45324</c:v>
                </c:pt>
                <c:pt idx="532">
                  <c:v>45323</c:v>
                </c:pt>
                <c:pt idx="533">
                  <c:v>45322</c:v>
                </c:pt>
                <c:pt idx="534">
                  <c:v>45321</c:v>
                </c:pt>
                <c:pt idx="535">
                  <c:v>45320</c:v>
                </c:pt>
                <c:pt idx="536">
                  <c:v>45316</c:v>
                </c:pt>
                <c:pt idx="537">
                  <c:v>45315</c:v>
                </c:pt>
                <c:pt idx="538">
                  <c:v>45314</c:v>
                </c:pt>
                <c:pt idx="539">
                  <c:v>45310</c:v>
                </c:pt>
                <c:pt idx="540">
                  <c:v>45308</c:v>
                </c:pt>
                <c:pt idx="541">
                  <c:v>45307</c:v>
                </c:pt>
                <c:pt idx="542">
                  <c:v>45306</c:v>
                </c:pt>
                <c:pt idx="543">
                  <c:v>45303</c:v>
                </c:pt>
                <c:pt idx="544">
                  <c:v>45302</c:v>
                </c:pt>
                <c:pt idx="545">
                  <c:v>45301</c:v>
                </c:pt>
                <c:pt idx="546">
                  <c:v>45300</c:v>
                </c:pt>
                <c:pt idx="547">
                  <c:v>45299</c:v>
                </c:pt>
                <c:pt idx="548">
                  <c:v>45296</c:v>
                </c:pt>
                <c:pt idx="549">
                  <c:v>45295</c:v>
                </c:pt>
                <c:pt idx="550">
                  <c:v>45294</c:v>
                </c:pt>
                <c:pt idx="551">
                  <c:v>45293</c:v>
                </c:pt>
                <c:pt idx="552">
                  <c:v>45292</c:v>
                </c:pt>
                <c:pt idx="553">
                  <c:v>45289</c:v>
                </c:pt>
                <c:pt idx="554">
                  <c:v>45288</c:v>
                </c:pt>
                <c:pt idx="555">
                  <c:v>45287</c:v>
                </c:pt>
                <c:pt idx="556">
                  <c:v>45286</c:v>
                </c:pt>
                <c:pt idx="557">
                  <c:v>45282</c:v>
                </c:pt>
                <c:pt idx="558">
                  <c:v>45281</c:v>
                </c:pt>
                <c:pt idx="559">
                  <c:v>45280</c:v>
                </c:pt>
                <c:pt idx="560">
                  <c:v>45279</c:v>
                </c:pt>
                <c:pt idx="561">
                  <c:v>45278</c:v>
                </c:pt>
                <c:pt idx="562">
                  <c:v>45275</c:v>
                </c:pt>
                <c:pt idx="563">
                  <c:v>45274</c:v>
                </c:pt>
                <c:pt idx="564">
                  <c:v>45273</c:v>
                </c:pt>
                <c:pt idx="565">
                  <c:v>45272</c:v>
                </c:pt>
                <c:pt idx="566">
                  <c:v>45271</c:v>
                </c:pt>
                <c:pt idx="567">
                  <c:v>45268</c:v>
                </c:pt>
                <c:pt idx="568">
                  <c:v>45267</c:v>
                </c:pt>
                <c:pt idx="569">
                  <c:v>45266</c:v>
                </c:pt>
                <c:pt idx="570">
                  <c:v>45265</c:v>
                </c:pt>
                <c:pt idx="571">
                  <c:v>45264</c:v>
                </c:pt>
                <c:pt idx="572">
                  <c:v>45261</c:v>
                </c:pt>
                <c:pt idx="573">
                  <c:v>45260</c:v>
                </c:pt>
                <c:pt idx="574">
                  <c:v>45259</c:v>
                </c:pt>
                <c:pt idx="575">
                  <c:v>45258</c:v>
                </c:pt>
                <c:pt idx="576">
                  <c:v>45254</c:v>
                </c:pt>
                <c:pt idx="577">
                  <c:v>45253</c:v>
                </c:pt>
                <c:pt idx="578">
                  <c:v>45252</c:v>
                </c:pt>
                <c:pt idx="579">
                  <c:v>45251</c:v>
                </c:pt>
                <c:pt idx="580">
                  <c:v>45250</c:v>
                </c:pt>
                <c:pt idx="581">
                  <c:v>45247</c:v>
                </c:pt>
                <c:pt idx="582">
                  <c:v>45246</c:v>
                </c:pt>
                <c:pt idx="583">
                  <c:v>45245</c:v>
                </c:pt>
                <c:pt idx="584">
                  <c:v>45243</c:v>
                </c:pt>
                <c:pt idx="585">
                  <c:v>45240</c:v>
                </c:pt>
                <c:pt idx="586">
                  <c:v>45239</c:v>
                </c:pt>
                <c:pt idx="587">
                  <c:v>45238</c:v>
                </c:pt>
                <c:pt idx="588">
                  <c:v>45237</c:v>
                </c:pt>
                <c:pt idx="589">
                  <c:v>45236</c:v>
                </c:pt>
                <c:pt idx="590">
                  <c:v>45233</c:v>
                </c:pt>
                <c:pt idx="591">
                  <c:v>45232</c:v>
                </c:pt>
                <c:pt idx="592">
                  <c:v>45231</c:v>
                </c:pt>
                <c:pt idx="593">
                  <c:v>45230</c:v>
                </c:pt>
                <c:pt idx="594">
                  <c:v>45229</c:v>
                </c:pt>
                <c:pt idx="595">
                  <c:v>45226</c:v>
                </c:pt>
                <c:pt idx="596">
                  <c:v>45225</c:v>
                </c:pt>
                <c:pt idx="597">
                  <c:v>45224</c:v>
                </c:pt>
                <c:pt idx="598">
                  <c:v>45222</c:v>
                </c:pt>
                <c:pt idx="599">
                  <c:v>45219</c:v>
                </c:pt>
                <c:pt idx="600">
                  <c:v>45218</c:v>
                </c:pt>
                <c:pt idx="601">
                  <c:v>45217</c:v>
                </c:pt>
                <c:pt idx="602">
                  <c:v>45216</c:v>
                </c:pt>
                <c:pt idx="603">
                  <c:v>45215</c:v>
                </c:pt>
                <c:pt idx="604">
                  <c:v>45212</c:v>
                </c:pt>
                <c:pt idx="605">
                  <c:v>45211</c:v>
                </c:pt>
                <c:pt idx="606">
                  <c:v>45210</c:v>
                </c:pt>
                <c:pt idx="607">
                  <c:v>45209</c:v>
                </c:pt>
                <c:pt idx="608">
                  <c:v>45208</c:v>
                </c:pt>
                <c:pt idx="609">
                  <c:v>45205</c:v>
                </c:pt>
                <c:pt idx="610">
                  <c:v>45204</c:v>
                </c:pt>
                <c:pt idx="611">
                  <c:v>45203</c:v>
                </c:pt>
                <c:pt idx="612">
                  <c:v>45202</c:v>
                </c:pt>
                <c:pt idx="613">
                  <c:v>45198</c:v>
                </c:pt>
                <c:pt idx="614">
                  <c:v>45197</c:v>
                </c:pt>
                <c:pt idx="615">
                  <c:v>45196</c:v>
                </c:pt>
                <c:pt idx="616">
                  <c:v>45195</c:v>
                </c:pt>
                <c:pt idx="617">
                  <c:v>45194</c:v>
                </c:pt>
                <c:pt idx="618">
                  <c:v>45191</c:v>
                </c:pt>
                <c:pt idx="619">
                  <c:v>45190</c:v>
                </c:pt>
                <c:pt idx="620">
                  <c:v>45189</c:v>
                </c:pt>
                <c:pt idx="621">
                  <c:v>45187</c:v>
                </c:pt>
                <c:pt idx="622">
                  <c:v>45184</c:v>
                </c:pt>
                <c:pt idx="623">
                  <c:v>45183</c:v>
                </c:pt>
                <c:pt idx="624">
                  <c:v>45182</c:v>
                </c:pt>
                <c:pt idx="625">
                  <c:v>45181</c:v>
                </c:pt>
                <c:pt idx="626">
                  <c:v>45180</c:v>
                </c:pt>
                <c:pt idx="627">
                  <c:v>45177</c:v>
                </c:pt>
                <c:pt idx="628">
                  <c:v>45176</c:v>
                </c:pt>
                <c:pt idx="629">
                  <c:v>45175</c:v>
                </c:pt>
                <c:pt idx="630">
                  <c:v>45174</c:v>
                </c:pt>
                <c:pt idx="631">
                  <c:v>45173</c:v>
                </c:pt>
                <c:pt idx="632">
                  <c:v>45170</c:v>
                </c:pt>
                <c:pt idx="633">
                  <c:v>45169</c:v>
                </c:pt>
                <c:pt idx="634">
                  <c:v>45168</c:v>
                </c:pt>
                <c:pt idx="635">
                  <c:v>45167</c:v>
                </c:pt>
                <c:pt idx="636">
                  <c:v>45166</c:v>
                </c:pt>
                <c:pt idx="637">
                  <c:v>45163</c:v>
                </c:pt>
                <c:pt idx="638">
                  <c:v>45162</c:v>
                </c:pt>
                <c:pt idx="639">
                  <c:v>45161</c:v>
                </c:pt>
                <c:pt idx="640">
                  <c:v>45160</c:v>
                </c:pt>
                <c:pt idx="641">
                  <c:v>45159</c:v>
                </c:pt>
                <c:pt idx="642">
                  <c:v>45156</c:v>
                </c:pt>
                <c:pt idx="643">
                  <c:v>45155</c:v>
                </c:pt>
                <c:pt idx="644">
                  <c:v>45154</c:v>
                </c:pt>
                <c:pt idx="645">
                  <c:v>45152</c:v>
                </c:pt>
                <c:pt idx="646">
                  <c:v>45149</c:v>
                </c:pt>
                <c:pt idx="647">
                  <c:v>45148</c:v>
                </c:pt>
                <c:pt idx="648">
                  <c:v>45147</c:v>
                </c:pt>
                <c:pt idx="649">
                  <c:v>45146</c:v>
                </c:pt>
                <c:pt idx="650">
                  <c:v>45145</c:v>
                </c:pt>
                <c:pt idx="651">
                  <c:v>45142</c:v>
                </c:pt>
                <c:pt idx="652">
                  <c:v>45141</c:v>
                </c:pt>
                <c:pt idx="653">
                  <c:v>45135</c:v>
                </c:pt>
                <c:pt idx="654">
                  <c:v>45133</c:v>
                </c:pt>
                <c:pt idx="655">
                  <c:v>45131</c:v>
                </c:pt>
                <c:pt idx="656">
                  <c:v>45128</c:v>
                </c:pt>
                <c:pt idx="657">
                  <c:v>45127</c:v>
                </c:pt>
                <c:pt idx="658">
                  <c:v>45126</c:v>
                </c:pt>
                <c:pt idx="659">
                  <c:v>45124</c:v>
                </c:pt>
                <c:pt idx="660">
                  <c:v>45121</c:v>
                </c:pt>
                <c:pt idx="661">
                  <c:v>45117</c:v>
                </c:pt>
                <c:pt idx="662">
                  <c:v>45114</c:v>
                </c:pt>
                <c:pt idx="663">
                  <c:v>45107</c:v>
                </c:pt>
                <c:pt idx="664">
                  <c:v>45105</c:v>
                </c:pt>
                <c:pt idx="665">
                  <c:v>45104</c:v>
                </c:pt>
                <c:pt idx="666">
                  <c:v>45103</c:v>
                </c:pt>
                <c:pt idx="667">
                  <c:v>45100</c:v>
                </c:pt>
                <c:pt idx="668">
                  <c:v>45099</c:v>
                </c:pt>
                <c:pt idx="669">
                  <c:v>45098</c:v>
                </c:pt>
                <c:pt idx="670">
                  <c:v>45097</c:v>
                </c:pt>
                <c:pt idx="671">
                  <c:v>45096</c:v>
                </c:pt>
                <c:pt idx="672">
                  <c:v>45093</c:v>
                </c:pt>
                <c:pt idx="673">
                  <c:v>45092</c:v>
                </c:pt>
                <c:pt idx="674">
                  <c:v>45091</c:v>
                </c:pt>
                <c:pt idx="675">
                  <c:v>45090</c:v>
                </c:pt>
                <c:pt idx="676">
                  <c:v>45089</c:v>
                </c:pt>
                <c:pt idx="677">
                  <c:v>45086</c:v>
                </c:pt>
                <c:pt idx="678">
                  <c:v>45085</c:v>
                </c:pt>
                <c:pt idx="679">
                  <c:v>45084</c:v>
                </c:pt>
                <c:pt idx="680">
                  <c:v>45083</c:v>
                </c:pt>
                <c:pt idx="681">
                  <c:v>45082</c:v>
                </c:pt>
                <c:pt idx="682">
                  <c:v>45079</c:v>
                </c:pt>
                <c:pt idx="683">
                  <c:v>45078</c:v>
                </c:pt>
                <c:pt idx="684">
                  <c:v>45077</c:v>
                </c:pt>
                <c:pt idx="685">
                  <c:v>45076</c:v>
                </c:pt>
                <c:pt idx="686">
                  <c:v>45072</c:v>
                </c:pt>
                <c:pt idx="687">
                  <c:v>45071</c:v>
                </c:pt>
                <c:pt idx="688">
                  <c:v>45070</c:v>
                </c:pt>
                <c:pt idx="689">
                  <c:v>45069</c:v>
                </c:pt>
                <c:pt idx="690">
                  <c:v>45068</c:v>
                </c:pt>
                <c:pt idx="691">
                  <c:v>45065</c:v>
                </c:pt>
                <c:pt idx="692">
                  <c:v>45063</c:v>
                </c:pt>
                <c:pt idx="693">
                  <c:v>45062</c:v>
                </c:pt>
                <c:pt idx="694">
                  <c:v>45061</c:v>
                </c:pt>
                <c:pt idx="695">
                  <c:v>45058</c:v>
                </c:pt>
                <c:pt idx="696">
                  <c:v>45057</c:v>
                </c:pt>
                <c:pt idx="697">
                  <c:v>45056</c:v>
                </c:pt>
                <c:pt idx="698">
                  <c:v>45055</c:v>
                </c:pt>
                <c:pt idx="699">
                  <c:v>45054</c:v>
                </c:pt>
                <c:pt idx="700">
                  <c:v>45051</c:v>
                </c:pt>
                <c:pt idx="701">
                  <c:v>45050</c:v>
                </c:pt>
                <c:pt idx="702">
                  <c:v>45049</c:v>
                </c:pt>
                <c:pt idx="703">
                  <c:v>45048</c:v>
                </c:pt>
                <c:pt idx="704">
                  <c:v>45044</c:v>
                </c:pt>
                <c:pt idx="705">
                  <c:v>45043</c:v>
                </c:pt>
                <c:pt idx="706">
                  <c:v>45042</c:v>
                </c:pt>
                <c:pt idx="707">
                  <c:v>45041</c:v>
                </c:pt>
                <c:pt idx="708">
                  <c:v>45040</c:v>
                </c:pt>
                <c:pt idx="709">
                  <c:v>45037</c:v>
                </c:pt>
                <c:pt idx="710">
                  <c:v>45036</c:v>
                </c:pt>
                <c:pt idx="711">
                  <c:v>45035</c:v>
                </c:pt>
                <c:pt idx="712">
                  <c:v>45034</c:v>
                </c:pt>
                <c:pt idx="713">
                  <c:v>45033</c:v>
                </c:pt>
                <c:pt idx="714">
                  <c:v>45029</c:v>
                </c:pt>
                <c:pt idx="715">
                  <c:v>45028</c:v>
                </c:pt>
                <c:pt idx="716">
                  <c:v>45027</c:v>
                </c:pt>
                <c:pt idx="717">
                  <c:v>45026</c:v>
                </c:pt>
                <c:pt idx="718">
                  <c:v>45022</c:v>
                </c:pt>
                <c:pt idx="719">
                  <c:v>45021</c:v>
                </c:pt>
                <c:pt idx="720">
                  <c:v>45019</c:v>
                </c:pt>
                <c:pt idx="721">
                  <c:v>45016</c:v>
                </c:pt>
                <c:pt idx="722">
                  <c:v>45014</c:v>
                </c:pt>
                <c:pt idx="723">
                  <c:v>45013</c:v>
                </c:pt>
                <c:pt idx="724">
                  <c:v>45012</c:v>
                </c:pt>
                <c:pt idx="725">
                  <c:v>45009</c:v>
                </c:pt>
                <c:pt idx="726">
                  <c:v>45008</c:v>
                </c:pt>
                <c:pt idx="727">
                  <c:v>45007</c:v>
                </c:pt>
                <c:pt idx="728">
                  <c:v>45006</c:v>
                </c:pt>
                <c:pt idx="729">
                  <c:v>45005</c:v>
                </c:pt>
                <c:pt idx="730">
                  <c:v>45002</c:v>
                </c:pt>
                <c:pt idx="731">
                  <c:v>45001</c:v>
                </c:pt>
                <c:pt idx="732">
                  <c:v>45000</c:v>
                </c:pt>
                <c:pt idx="733">
                  <c:v>44999</c:v>
                </c:pt>
                <c:pt idx="734">
                  <c:v>44998</c:v>
                </c:pt>
                <c:pt idx="735">
                  <c:v>44995</c:v>
                </c:pt>
                <c:pt idx="736">
                  <c:v>44994</c:v>
                </c:pt>
                <c:pt idx="737">
                  <c:v>44993</c:v>
                </c:pt>
                <c:pt idx="738">
                  <c:v>44991</c:v>
                </c:pt>
                <c:pt idx="739">
                  <c:v>44988</c:v>
                </c:pt>
                <c:pt idx="740">
                  <c:v>44987</c:v>
                </c:pt>
                <c:pt idx="741">
                  <c:v>44986</c:v>
                </c:pt>
                <c:pt idx="742">
                  <c:v>44985</c:v>
                </c:pt>
                <c:pt idx="743">
                  <c:v>44984</c:v>
                </c:pt>
                <c:pt idx="744">
                  <c:v>44981</c:v>
                </c:pt>
                <c:pt idx="745">
                  <c:v>44980</c:v>
                </c:pt>
                <c:pt idx="746">
                  <c:v>44979</c:v>
                </c:pt>
                <c:pt idx="747">
                  <c:v>44978</c:v>
                </c:pt>
                <c:pt idx="748">
                  <c:v>44977</c:v>
                </c:pt>
                <c:pt idx="749">
                  <c:v>44974</c:v>
                </c:pt>
                <c:pt idx="750">
                  <c:v>44973</c:v>
                </c:pt>
                <c:pt idx="751">
                  <c:v>44972</c:v>
                </c:pt>
                <c:pt idx="752">
                  <c:v>44971</c:v>
                </c:pt>
                <c:pt idx="753">
                  <c:v>44970</c:v>
                </c:pt>
                <c:pt idx="754">
                  <c:v>44967</c:v>
                </c:pt>
                <c:pt idx="755">
                  <c:v>44966</c:v>
                </c:pt>
                <c:pt idx="756">
                  <c:v>44965</c:v>
                </c:pt>
                <c:pt idx="757">
                  <c:v>44964</c:v>
                </c:pt>
                <c:pt idx="758">
                  <c:v>44963</c:v>
                </c:pt>
                <c:pt idx="759">
                  <c:v>44960</c:v>
                </c:pt>
                <c:pt idx="760">
                  <c:v>44959</c:v>
                </c:pt>
                <c:pt idx="761">
                  <c:v>44958</c:v>
                </c:pt>
                <c:pt idx="762">
                  <c:v>44957</c:v>
                </c:pt>
                <c:pt idx="763">
                  <c:v>44956</c:v>
                </c:pt>
                <c:pt idx="764">
                  <c:v>44953</c:v>
                </c:pt>
                <c:pt idx="765">
                  <c:v>44951</c:v>
                </c:pt>
                <c:pt idx="766">
                  <c:v>44950</c:v>
                </c:pt>
                <c:pt idx="767">
                  <c:v>44949</c:v>
                </c:pt>
                <c:pt idx="768">
                  <c:v>44946</c:v>
                </c:pt>
                <c:pt idx="769">
                  <c:v>44945</c:v>
                </c:pt>
                <c:pt idx="770">
                  <c:v>44944</c:v>
                </c:pt>
                <c:pt idx="771">
                  <c:v>44943</c:v>
                </c:pt>
                <c:pt idx="772">
                  <c:v>44942</c:v>
                </c:pt>
                <c:pt idx="773">
                  <c:v>44939</c:v>
                </c:pt>
                <c:pt idx="774">
                  <c:v>44938</c:v>
                </c:pt>
                <c:pt idx="775">
                  <c:v>44937</c:v>
                </c:pt>
                <c:pt idx="776">
                  <c:v>44936</c:v>
                </c:pt>
                <c:pt idx="777">
                  <c:v>44935</c:v>
                </c:pt>
                <c:pt idx="778">
                  <c:v>44932</c:v>
                </c:pt>
                <c:pt idx="779">
                  <c:v>44931</c:v>
                </c:pt>
                <c:pt idx="780">
                  <c:v>44930</c:v>
                </c:pt>
                <c:pt idx="781">
                  <c:v>44929</c:v>
                </c:pt>
                <c:pt idx="782">
                  <c:v>44928</c:v>
                </c:pt>
                <c:pt idx="783">
                  <c:v>44925</c:v>
                </c:pt>
                <c:pt idx="784">
                  <c:v>44924</c:v>
                </c:pt>
                <c:pt idx="785">
                  <c:v>44923</c:v>
                </c:pt>
                <c:pt idx="786">
                  <c:v>44922</c:v>
                </c:pt>
                <c:pt idx="787">
                  <c:v>44921</c:v>
                </c:pt>
                <c:pt idx="788">
                  <c:v>44918</c:v>
                </c:pt>
                <c:pt idx="789">
                  <c:v>44917</c:v>
                </c:pt>
                <c:pt idx="790">
                  <c:v>44916</c:v>
                </c:pt>
                <c:pt idx="791">
                  <c:v>44915</c:v>
                </c:pt>
                <c:pt idx="792">
                  <c:v>44914</c:v>
                </c:pt>
                <c:pt idx="793">
                  <c:v>44911</c:v>
                </c:pt>
                <c:pt idx="794">
                  <c:v>44910</c:v>
                </c:pt>
                <c:pt idx="795">
                  <c:v>44909</c:v>
                </c:pt>
                <c:pt idx="796">
                  <c:v>44908</c:v>
                </c:pt>
                <c:pt idx="797">
                  <c:v>44907</c:v>
                </c:pt>
                <c:pt idx="798">
                  <c:v>44904</c:v>
                </c:pt>
                <c:pt idx="799">
                  <c:v>44903</c:v>
                </c:pt>
                <c:pt idx="800">
                  <c:v>44902</c:v>
                </c:pt>
                <c:pt idx="801">
                  <c:v>44901</c:v>
                </c:pt>
                <c:pt idx="802">
                  <c:v>44900</c:v>
                </c:pt>
                <c:pt idx="803">
                  <c:v>44897</c:v>
                </c:pt>
                <c:pt idx="804">
                  <c:v>44896</c:v>
                </c:pt>
                <c:pt idx="805">
                  <c:v>44895</c:v>
                </c:pt>
                <c:pt idx="806">
                  <c:v>44894</c:v>
                </c:pt>
                <c:pt idx="807">
                  <c:v>44893</c:v>
                </c:pt>
                <c:pt idx="808">
                  <c:v>44890</c:v>
                </c:pt>
                <c:pt idx="809">
                  <c:v>44889</c:v>
                </c:pt>
                <c:pt idx="810">
                  <c:v>44888</c:v>
                </c:pt>
                <c:pt idx="811">
                  <c:v>44887</c:v>
                </c:pt>
                <c:pt idx="812">
                  <c:v>44886</c:v>
                </c:pt>
                <c:pt idx="813">
                  <c:v>44883</c:v>
                </c:pt>
                <c:pt idx="814">
                  <c:v>44882</c:v>
                </c:pt>
                <c:pt idx="815">
                  <c:v>44881</c:v>
                </c:pt>
                <c:pt idx="816">
                  <c:v>44880</c:v>
                </c:pt>
                <c:pt idx="817">
                  <c:v>44879</c:v>
                </c:pt>
                <c:pt idx="818">
                  <c:v>44876</c:v>
                </c:pt>
                <c:pt idx="819">
                  <c:v>44875</c:v>
                </c:pt>
                <c:pt idx="820">
                  <c:v>44874</c:v>
                </c:pt>
                <c:pt idx="821">
                  <c:v>44872</c:v>
                </c:pt>
                <c:pt idx="822">
                  <c:v>44869</c:v>
                </c:pt>
                <c:pt idx="823">
                  <c:v>44868</c:v>
                </c:pt>
                <c:pt idx="824">
                  <c:v>44867</c:v>
                </c:pt>
                <c:pt idx="825">
                  <c:v>44866</c:v>
                </c:pt>
                <c:pt idx="826">
                  <c:v>44865</c:v>
                </c:pt>
                <c:pt idx="827">
                  <c:v>44862</c:v>
                </c:pt>
                <c:pt idx="828">
                  <c:v>44861</c:v>
                </c:pt>
                <c:pt idx="829">
                  <c:v>44859</c:v>
                </c:pt>
                <c:pt idx="830">
                  <c:v>44858</c:v>
                </c:pt>
                <c:pt idx="831">
                  <c:v>44855</c:v>
                </c:pt>
                <c:pt idx="832">
                  <c:v>44854</c:v>
                </c:pt>
                <c:pt idx="833">
                  <c:v>44853</c:v>
                </c:pt>
                <c:pt idx="834">
                  <c:v>44852</c:v>
                </c:pt>
                <c:pt idx="835">
                  <c:v>44851</c:v>
                </c:pt>
                <c:pt idx="836">
                  <c:v>44848</c:v>
                </c:pt>
                <c:pt idx="837">
                  <c:v>44847</c:v>
                </c:pt>
                <c:pt idx="838">
                  <c:v>44846</c:v>
                </c:pt>
                <c:pt idx="839">
                  <c:v>44845</c:v>
                </c:pt>
                <c:pt idx="840">
                  <c:v>44844</c:v>
                </c:pt>
                <c:pt idx="841">
                  <c:v>44841</c:v>
                </c:pt>
                <c:pt idx="842">
                  <c:v>44840</c:v>
                </c:pt>
                <c:pt idx="843">
                  <c:v>44838</c:v>
                </c:pt>
                <c:pt idx="844">
                  <c:v>44837</c:v>
                </c:pt>
                <c:pt idx="845">
                  <c:v>44834</c:v>
                </c:pt>
                <c:pt idx="846">
                  <c:v>44833</c:v>
                </c:pt>
                <c:pt idx="847">
                  <c:v>44832</c:v>
                </c:pt>
                <c:pt idx="848">
                  <c:v>44831</c:v>
                </c:pt>
                <c:pt idx="849">
                  <c:v>44830</c:v>
                </c:pt>
                <c:pt idx="850">
                  <c:v>44827</c:v>
                </c:pt>
                <c:pt idx="851">
                  <c:v>44826</c:v>
                </c:pt>
                <c:pt idx="852">
                  <c:v>44825</c:v>
                </c:pt>
                <c:pt idx="853">
                  <c:v>44824</c:v>
                </c:pt>
                <c:pt idx="854">
                  <c:v>44823</c:v>
                </c:pt>
                <c:pt idx="855">
                  <c:v>44820</c:v>
                </c:pt>
                <c:pt idx="856">
                  <c:v>44819</c:v>
                </c:pt>
                <c:pt idx="857">
                  <c:v>44818</c:v>
                </c:pt>
                <c:pt idx="858">
                  <c:v>44817</c:v>
                </c:pt>
                <c:pt idx="859">
                  <c:v>44816</c:v>
                </c:pt>
                <c:pt idx="860">
                  <c:v>44813</c:v>
                </c:pt>
                <c:pt idx="861">
                  <c:v>44812</c:v>
                </c:pt>
                <c:pt idx="862">
                  <c:v>44811</c:v>
                </c:pt>
                <c:pt idx="863">
                  <c:v>44810</c:v>
                </c:pt>
                <c:pt idx="864">
                  <c:v>44809</c:v>
                </c:pt>
                <c:pt idx="865">
                  <c:v>44806</c:v>
                </c:pt>
                <c:pt idx="866">
                  <c:v>44805</c:v>
                </c:pt>
                <c:pt idx="867">
                  <c:v>44803</c:v>
                </c:pt>
                <c:pt idx="868">
                  <c:v>44802</c:v>
                </c:pt>
                <c:pt idx="869">
                  <c:v>44799</c:v>
                </c:pt>
                <c:pt idx="870">
                  <c:v>44798</c:v>
                </c:pt>
                <c:pt idx="871">
                  <c:v>44797</c:v>
                </c:pt>
                <c:pt idx="872">
                  <c:v>44796</c:v>
                </c:pt>
                <c:pt idx="873">
                  <c:v>44795</c:v>
                </c:pt>
                <c:pt idx="874">
                  <c:v>44792</c:v>
                </c:pt>
                <c:pt idx="875">
                  <c:v>44791</c:v>
                </c:pt>
                <c:pt idx="876">
                  <c:v>44790</c:v>
                </c:pt>
                <c:pt idx="877">
                  <c:v>44789</c:v>
                </c:pt>
                <c:pt idx="878">
                  <c:v>44785</c:v>
                </c:pt>
                <c:pt idx="879">
                  <c:v>44784</c:v>
                </c:pt>
                <c:pt idx="880">
                  <c:v>44783</c:v>
                </c:pt>
                <c:pt idx="881">
                  <c:v>44781</c:v>
                </c:pt>
                <c:pt idx="882">
                  <c:v>44778</c:v>
                </c:pt>
                <c:pt idx="883">
                  <c:v>44777</c:v>
                </c:pt>
                <c:pt idx="884">
                  <c:v>44776</c:v>
                </c:pt>
                <c:pt idx="885">
                  <c:v>44775</c:v>
                </c:pt>
                <c:pt idx="886">
                  <c:v>44774</c:v>
                </c:pt>
                <c:pt idx="887">
                  <c:v>44771</c:v>
                </c:pt>
                <c:pt idx="888">
                  <c:v>44770</c:v>
                </c:pt>
                <c:pt idx="889">
                  <c:v>44769</c:v>
                </c:pt>
                <c:pt idx="890">
                  <c:v>44768</c:v>
                </c:pt>
                <c:pt idx="891">
                  <c:v>44767</c:v>
                </c:pt>
                <c:pt idx="892">
                  <c:v>44764</c:v>
                </c:pt>
                <c:pt idx="893">
                  <c:v>44763</c:v>
                </c:pt>
                <c:pt idx="894">
                  <c:v>44762</c:v>
                </c:pt>
                <c:pt idx="895">
                  <c:v>44761</c:v>
                </c:pt>
                <c:pt idx="896">
                  <c:v>44760</c:v>
                </c:pt>
                <c:pt idx="897">
                  <c:v>44757</c:v>
                </c:pt>
                <c:pt idx="898">
                  <c:v>44756</c:v>
                </c:pt>
                <c:pt idx="899">
                  <c:v>44755</c:v>
                </c:pt>
                <c:pt idx="900">
                  <c:v>44754</c:v>
                </c:pt>
                <c:pt idx="901">
                  <c:v>44753</c:v>
                </c:pt>
                <c:pt idx="902">
                  <c:v>44750</c:v>
                </c:pt>
                <c:pt idx="903">
                  <c:v>44749</c:v>
                </c:pt>
                <c:pt idx="904">
                  <c:v>44748</c:v>
                </c:pt>
                <c:pt idx="905">
                  <c:v>44747</c:v>
                </c:pt>
                <c:pt idx="906">
                  <c:v>44746</c:v>
                </c:pt>
                <c:pt idx="907">
                  <c:v>44743</c:v>
                </c:pt>
                <c:pt idx="908">
                  <c:v>44742</c:v>
                </c:pt>
                <c:pt idx="909">
                  <c:v>44741</c:v>
                </c:pt>
                <c:pt idx="910">
                  <c:v>44740</c:v>
                </c:pt>
                <c:pt idx="911">
                  <c:v>44739</c:v>
                </c:pt>
                <c:pt idx="912">
                  <c:v>44736</c:v>
                </c:pt>
                <c:pt idx="913">
                  <c:v>44735</c:v>
                </c:pt>
                <c:pt idx="914">
                  <c:v>44734</c:v>
                </c:pt>
                <c:pt idx="915">
                  <c:v>44733</c:v>
                </c:pt>
                <c:pt idx="916">
                  <c:v>44732</c:v>
                </c:pt>
                <c:pt idx="917">
                  <c:v>44729</c:v>
                </c:pt>
                <c:pt idx="918">
                  <c:v>44728</c:v>
                </c:pt>
                <c:pt idx="919">
                  <c:v>44727</c:v>
                </c:pt>
                <c:pt idx="920">
                  <c:v>44726</c:v>
                </c:pt>
                <c:pt idx="921">
                  <c:v>44725</c:v>
                </c:pt>
                <c:pt idx="922">
                  <c:v>44722</c:v>
                </c:pt>
                <c:pt idx="923">
                  <c:v>44721</c:v>
                </c:pt>
                <c:pt idx="924">
                  <c:v>44720</c:v>
                </c:pt>
                <c:pt idx="925">
                  <c:v>44719</c:v>
                </c:pt>
                <c:pt idx="926">
                  <c:v>44718</c:v>
                </c:pt>
                <c:pt idx="927">
                  <c:v>44715</c:v>
                </c:pt>
                <c:pt idx="928">
                  <c:v>44714</c:v>
                </c:pt>
                <c:pt idx="929">
                  <c:v>44713</c:v>
                </c:pt>
                <c:pt idx="930">
                  <c:v>44712</c:v>
                </c:pt>
                <c:pt idx="931">
                  <c:v>44711</c:v>
                </c:pt>
                <c:pt idx="932">
                  <c:v>44708</c:v>
                </c:pt>
                <c:pt idx="933">
                  <c:v>44707</c:v>
                </c:pt>
                <c:pt idx="934">
                  <c:v>44706</c:v>
                </c:pt>
                <c:pt idx="935">
                  <c:v>44705</c:v>
                </c:pt>
                <c:pt idx="936">
                  <c:v>44704</c:v>
                </c:pt>
                <c:pt idx="937">
                  <c:v>44701</c:v>
                </c:pt>
                <c:pt idx="938">
                  <c:v>44700</c:v>
                </c:pt>
                <c:pt idx="939">
                  <c:v>44699</c:v>
                </c:pt>
                <c:pt idx="940">
                  <c:v>44698</c:v>
                </c:pt>
                <c:pt idx="941">
                  <c:v>44697</c:v>
                </c:pt>
                <c:pt idx="942">
                  <c:v>44694</c:v>
                </c:pt>
                <c:pt idx="943">
                  <c:v>44693</c:v>
                </c:pt>
                <c:pt idx="944">
                  <c:v>44692</c:v>
                </c:pt>
                <c:pt idx="945">
                  <c:v>44691</c:v>
                </c:pt>
                <c:pt idx="946">
                  <c:v>44690</c:v>
                </c:pt>
                <c:pt idx="947">
                  <c:v>44687</c:v>
                </c:pt>
                <c:pt idx="948">
                  <c:v>44686</c:v>
                </c:pt>
                <c:pt idx="949">
                  <c:v>44685</c:v>
                </c:pt>
                <c:pt idx="950">
                  <c:v>44680</c:v>
                </c:pt>
                <c:pt idx="951">
                  <c:v>44679</c:v>
                </c:pt>
                <c:pt idx="952">
                  <c:v>44678</c:v>
                </c:pt>
                <c:pt idx="953">
                  <c:v>44677</c:v>
                </c:pt>
                <c:pt idx="954">
                  <c:v>44676</c:v>
                </c:pt>
                <c:pt idx="955">
                  <c:v>44673</c:v>
                </c:pt>
                <c:pt idx="956">
                  <c:v>44672</c:v>
                </c:pt>
                <c:pt idx="957">
                  <c:v>44671</c:v>
                </c:pt>
                <c:pt idx="958">
                  <c:v>44670</c:v>
                </c:pt>
                <c:pt idx="959">
                  <c:v>44669</c:v>
                </c:pt>
                <c:pt idx="960">
                  <c:v>44664</c:v>
                </c:pt>
                <c:pt idx="961">
                  <c:v>44663</c:v>
                </c:pt>
                <c:pt idx="962">
                  <c:v>44662</c:v>
                </c:pt>
                <c:pt idx="963">
                  <c:v>44659</c:v>
                </c:pt>
                <c:pt idx="964">
                  <c:v>44658</c:v>
                </c:pt>
                <c:pt idx="965">
                  <c:v>44657</c:v>
                </c:pt>
                <c:pt idx="966">
                  <c:v>44656</c:v>
                </c:pt>
                <c:pt idx="967">
                  <c:v>44655</c:v>
                </c:pt>
                <c:pt idx="968">
                  <c:v>44652</c:v>
                </c:pt>
                <c:pt idx="969">
                  <c:v>44651</c:v>
                </c:pt>
                <c:pt idx="970">
                  <c:v>44650</c:v>
                </c:pt>
                <c:pt idx="971">
                  <c:v>44649</c:v>
                </c:pt>
                <c:pt idx="972">
                  <c:v>44648</c:v>
                </c:pt>
                <c:pt idx="973">
                  <c:v>44645</c:v>
                </c:pt>
                <c:pt idx="974">
                  <c:v>44644</c:v>
                </c:pt>
                <c:pt idx="975">
                  <c:v>44643</c:v>
                </c:pt>
                <c:pt idx="976">
                  <c:v>44642</c:v>
                </c:pt>
                <c:pt idx="977">
                  <c:v>44641</c:v>
                </c:pt>
                <c:pt idx="978">
                  <c:v>44637</c:v>
                </c:pt>
                <c:pt idx="979">
                  <c:v>44636</c:v>
                </c:pt>
                <c:pt idx="980">
                  <c:v>44635</c:v>
                </c:pt>
                <c:pt idx="981">
                  <c:v>44634</c:v>
                </c:pt>
                <c:pt idx="982">
                  <c:v>44631</c:v>
                </c:pt>
                <c:pt idx="983">
                  <c:v>44630</c:v>
                </c:pt>
                <c:pt idx="984">
                  <c:v>44629</c:v>
                </c:pt>
                <c:pt idx="985">
                  <c:v>44628</c:v>
                </c:pt>
                <c:pt idx="986">
                  <c:v>44627</c:v>
                </c:pt>
                <c:pt idx="987">
                  <c:v>44624</c:v>
                </c:pt>
                <c:pt idx="988">
                  <c:v>44623</c:v>
                </c:pt>
                <c:pt idx="989">
                  <c:v>44622</c:v>
                </c:pt>
                <c:pt idx="990">
                  <c:v>44620</c:v>
                </c:pt>
                <c:pt idx="991">
                  <c:v>44617</c:v>
                </c:pt>
                <c:pt idx="992">
                  <c:v>44616</c:v>
                </c:pt>
                <c:pt idx="993">
                  <c:v>44615</c:v>
                </c:pt>
                <c:pt idx="994">
                  <c:v>44614</c:v>
                </c:pt>
                <c:pt idx="995">
                  <c:v>44613</c:v>
                </c:pt>
                <c:pt idx="996">
                  <c:v>44610</c:v>
                </c:pt>
                <c:pt idx="997">
                  <c:v>44609</c:v>
                </c:pt>
                <c:pt idx="998">
                  <c:v>44608</c:v>
                </c:pt>
                <c:pt idx="999">
                  <c:v>44607</c:v>
                </c:pt>
                <c:pt idx="1000">
                  <c:v>44603</c:v>
                </c:pt>
                <c:pt idx="1001">
                  <c:v>44602</c:v>
                </c:pt>
                <c:pt idx="1002">
                  <c:v>44601</c:v>
                </c:pt>
                <c:pt idx="1003">
                  <c:v>44600</c:v>
                </c:pt>
                <c:pt idx="1004">
                  <c:v>44599</c:v>
                </c:pt>
                <c:pt idx="1005">
                  <c:v>44596</c:v>
                </c:pt>
                <c:pt idx="1006">
                  <c:v>44595</c:v>
                </c:pt>
                <c:pt idx="1007">
                  <c:v>44594</c:v>
                </c:pt>
                <c:pt idx="1008">
                  <c:v>44593</c:v>
                </c:pt>
                <c:pt idx="1009">
                  <c:v>44592</c:v>
                </c:pt>
                <c:pt idx="1010">
                  <c:v>44589</c:v>
                </c:pt>
                <c:pt idx="1011">
                  <c:v>44588</c:v>
                </c:pt>
                <c:pt idx="1012">
                  <c:v>44586</c:v>
                </c:pt>
                <c:pt idx="1013">
                  <c:v>44585</c:v>
                </c:pt>
                <c:pt idx="1014">
                  <c:v>44582</c:v>
                </c:pt>
                <c:pt idx="1015">
                  <c:v>44581</c:v>
                </c:pt>
                <c:pt idx="1016">
                  <c:v>44580</c:v>
                </c:pt>
                <c:pt idx="1017">
                  <c:v>44579</c:v>
                </c:pt>
                <c:pt idx="1018">
                  <c:v>44578</c:v>
                </c:pt>
                <c:pt idx="1019">
                  <c:v>44575</c:v>
                </c:pt>
                <c:pt idx="1020">
                  <c:v>44574</c:v>
                </c:pt>
                <c:pt idx="1021">
                  <c:v>44573</c:v>
                </c:pt>
                <c:pt idx="1022">
                  <c:v>44572</c:v>
                </c:pt>
                <c:pt idx="1023">
                  <c:v>44571</c:v>
                </c:pt>
                <c:pt idx="1024">
                  <c:v>44568</c:v>
                </c:pt>
                <c:pt idx="1025">
                  <c:v>44567</c:v>
                </c:pt>
                <c:pt idx="1026">
                  <c:v>44566</c:v>
                </c:pt>
                <c:pt idx="1027">
                  <c:v>44565</c:v>
                </c:pt>
                <c:pt idx="1028">
                  <c:v>44564</c:v>
                </c:pt>
                <c:pt idx="1029">
                  <c:v>44561</c:v>
                </c:pt>
                <c:pt idx="1030">
                  <c:v>44560</c:v>
                </c:pt>
                <c:pt idx="1031">
                  <c:v>44559</c:v>
                </c:pt>
                <c:pt idx="1032">
                  <c:v>44558</c:v>
                </c:pt>
                <c:pt idx="1033">
                  <c:v>44557</c:v>
                </c:pt>
                <c:pt idx="1034">
                  <c:v>44554</c:v>
                </c:pt>
                <c:pt idx="1035">
                  <c:v>44553</c:v>
                </c:pt>
                <c:pt idx="1036">
                  <c:v>44552</c:v>
                </c:pt>
                <c:pt idx="1037">
                  <c:v>44551</c:v>
                </c:pt>
                <c:pt idx="1038">
                  <c:v>44550</c:v>
                </c:pt>
                <c:pt idx="1039">
                  <c:v>44547</c:v>
                </c:pt>
                <c:pt idx="1040">
                  <c:v>44546</c:v>
                </c:pt>
                <c:pt idx="1041">
                  <c:v>44545</c:v>
                </c:pt>
                <c:pt idx="1042">
                  <c:v>44544</c:v>
                </c:pt>
                <c:pt idx="1043">
                  <c:v>44543</c:v>
                </c:pt>
                <c:pt idx="1044">
                  <c:v>44540</c:v>
                </c:pt>
                <c:pt idx="1045">
                  <c:v>44539</c:v>
                </c:pt>
                <c:pt idx="1046">
                  <c:v>44538</c:v>
                </c:pt>
                <c:pt idx="1047">
                  <c:v>44537</c:v>
                </c:pt>
                <c:pt idx="1048">
                  <c:v>44536</c:v>
                </c:pt>
                <c:pt idx="1049">
                  <c:v>44533</c:v>
                </c:pt>
                <c:pt idx="1050">
                  <c:v>44532</c:v>
                </c:pt>
                <c:pt idx="1051">
                  <c:v>44531</c:v>
                </c:pt>
                <c:pt idx="1052">
                  <c:v>44530</c:v>
                </c:pt>
                <c:pt idx="1053">
                  <c:v>44529</c:v>
                </c:pt>
                <c:pt idx="1054">
                  <c:v>44526</c:v>
                </c:pt>
                <c:pt idx="1055">
                  <c:v>44525</c:v>
                </c:pt>
                <c:pt idx="1056">
                  <c:v>44524</c:v>
                </c:pt>
                <c:pt idx="1057">
                  <c:v>44523</c:v>
                </c:pt>
                <c:pt idx="1058">
                  <c:v>44522</c:v>
                </c:pt>
                <c:pt idx="1059">
                  <c:v>44518</c:v>
                </c:pt>
                <c:pt idx="1060">
                  <c:v>44517</c:v>
                </c:pt>
                <c:pt idx="1061">
                  <c:v>44516</c:v>
                </c:pt>
                <c:pt idx="1062">
                  <c:v>44515</c:v>
                </c:pt>
                <c:pt idx="1063">
                  <c:v>44512</c:v>
                </c:pt>
                <c:pt idx="1064">
                  <c:v>44511</c:v>
                </c:pt>
                <c:pt idx="1065">
                  <c:v>44510</c:v>
                </c:pt>
                <c:pt idx="1066">
                  <c:v>44509</c:v>
                </c:pt>
                <c:pt idx="1067">
                  <c:v>44508</c:v>
                </c:pt>
                <c:pt idx="1068">
                  <c:v>44504</c:v>
                </c:pt>
                <c:pt idx="1069">
                  <c:v>44503</c:v>
                </c:pt>
                <c:pt idx="1070">
                  <c:v>44502</c:v>
                </c:pt>
                <c:pt idx="1071">
                  <c:v>44501</c:v>
                </c:pt>
                <c:pt idx="1072">
                  <c:v>44498</c:v>
                </c:pt>
                <c:pt idx="1073">
                  <c:v>44497</c:v>
                </c:pt>
                <c:pt idx="1074">
                  <c:v>44496</c:v>
                </c:pt>
                <c:pt idx="1075">
                  <c:v>44495</c:v>
                </c:pt>
                <c:pt idx="1076">
                  <c:v>44494</c:v>
                </c:pt>
                <c:pt idx="1077">
                  <c:v>44491</c:v>
                </c:pt>
                <c:pt idx="1078">
                  <c:v>44490</c:v>
                </c:pt>
                <c:pt idx="1079">
                  <c:v>44489</c:v>
                </c:pt>
                <c:pt idx="1080">
                  <c:v>44488</c:v>
                </c:pt>
                <c:pt idx="1081">
                  <c:v>44487</c:v>
                </c:pt>
                <c:pt idx="1082">
                  <c:v>44483</c:v>
                </c:pt>
                <c:pt idx="1083">
                  <c:v>44482</c:v>
                </c:pt>
                <c:pt idx="1084">
                  <c:v>44481</c:v>
                </c:pt>
                <c:pt idx="1085">
                  <c:v>44480</c:v>
                </c:pt>
                <c:pt idx="1086">
                  <c:v>44477</c:v>
                </c:pt>
                <c:pt idx="1087">
                  <c:v>44476</c:v>
                </c:pt>
                <c:pt idx="1088">
                  <c:v>44475</c:v>
                </c:pt>
                <c:pt idx="1089">
                  <c:v>44474</c:v>
                </c:pt>
                <c:pt idx="1090">
                  <c:v>44473</c:v>
                </c:pt>
                <c:pt idx="1091">
                  <c:v>44470</c:v>
                </c:pt>
                <c:pt idx="1092">
                  <c:v>44469</c:v>
                </c:pt>
                <c:pt idx="1093">
                  <c:v>44468</c:v>
                </c:pt>
                <c:pt idx="1094">
                  <c:v>44467</c:v>
                </c:pt>
                <c:pt idx="1095">
                  <c:v>44466</c:v>
                </c:pt>
                <c:pt idx="1096">
                  <c:v>44463</c:v>
                </c:pt>
                <c:pt idx="1097">
                  <c:v>44462</c:v>
                </c:pt>
                <c:pt idx="1098">
                  <c:v>44461</c:v>
                </c:pt>
                <c:pt idx="1099">
                  <c:v>44460</c:v>
                </c:pt>
                <c:pt idx="1100">
                  <c:v>44459</c:v>
                </c:pt>
                <c:pt idx="1101">
                  <c:v>44456</c:v>
                </c:pt>
                <c:pt idx="1102">
                  <c:v>44455</c:v>
                </c:pt>
                <c:pt idx="1103">
                  <c:v>44454</c:v>
                </c:pt>
                <c:pt idx="1104">
                  <c:v>44453</c:v>
                </c:pt>
                <c:pt idx="1105">
                  <c:v>44452</c:v>
                </c:pt>
                <c:pt idx="1106">
                  <c:v>44448</c:v>
                </c:pt>
                <c:pt idx="1107">
                  <c:v>44447</c:v>
                </c:pt>
                <c:pt idx="1108">
                  <c:v>44446</c:v>
                </c:pt>
                <c:pt idx="1109">
                  <c:v>44445</c:v>
                </c:pt>
                <c:pt idx="1110">
                  <c:v>44442</c:v>
                </c:pt>
                <c:pt idx="1111">
                  <c:v>44441</c:v>
                </c:pt>
                <c:pt idx="1112">
                  <c:v>44440</c:v>
                </c:pt>
                <c:pt idx="1113">
                  <c:v>44439</c:v>
                </c:pt>
                <c:pt idx="1114">
                  <c:v>44438</c:v>
                </c:pt>
                <c:pt idx="1115">
                  <c:v>44435</c:v>
                </c:pt>
                <c:pt idx="1116">
                  <c:v>44434</c:v>
                </c:pt>
                <c:pt idx="1117">
                  <c:v>44433</c:v>
                </c:pt>
                <c:pt idx="1118">
                  <c:v>44432</c:v>
                </c:pt>
                <c:pt idx="1119">
                  <c:v>44431</c:v>
                </c:pt>
                <c:pt idx="1120">
                  <c:v>44428</c:v>
                </c:pt>
                <c:pt idx="1121">
                  <c:v>44426</c:v>
                </c:pt>
                <c:pt idx="1122">
                  <c:v>44425</c:v>
                </c:pt>
                <c:pt idx="1123">
                  <c:v>44424</c:v>
                </c:pt>
                <c:pt idx="1124">
                  <c:v>44421</c:v>
                </c:pt>
                <c:pt idx="1125">
                  <c:v>44420</c:v>
                </c:pt>
                <c:pt idx="1126">
                  <c:v>44419</c:v>
                </c:pt>
                <c:pt idx="1127">
                  <c:v>44418</c:v>
                </c:pt>
                <c:pt idx="1128">
                  <c:v>44417</c:v>
                </c:pt>
                <c:pt idx="1129">
                  <c:v>44414</c:v>
                </c:pt>
                <c:pt idx="1130">
                  <c:v>44413</c:v>
                </c:pt>
                <c:pt idx="1131">
                  <c:v>44412</c:v>
                </c:pt>
                <c:pt idx="1132">
                  <c:v>44411</c:v>
                </c:pt>
                <c:pt idx="1133">
                  <c:v>44410</c:v>
                </c:pt>
                <c:pt idx="1134">
                  <c:v>44407</c:v>
                </c:pt>
                <c:pt idx="1135">
                  <c:v>44406</c:v>
                </c:pt>
                <c:pt idx="1136">
                  <c:v>44405</c:v>
                </c:pt>
                <c:pt idx="1137">
                  <c:v>44404</c:v>
                </c:pt>
                <c:pt idx="1138">
                  <c:v>44403</c:v>
                </c:pt>
                <c:pt idx="1139">
                  <c:v>44400</c:v>
                </c:pt>
                <c:pt idx="1140">
                  <c:v>44399</c:v>
                </c:pt>
                <c:pt idx="1141">
                  <c:v>44397</c:v>
                </c:pt>
                <c:pt idx="1142">
                  <c:v>44396</c:v>
                </c:pt>
                <c:pt idx="1143">
                  <c:v>44393</c:v>
                </c:pt>
                <c:pt idx="1144">
                  <c:v>44392</c:v>
                </c:pt>
                <c:pt idx="1145">
                  <c:v>44391</c:v>
                </c:pt>
                <c:pt idx="1146">
                  <c:v>44390</c:v>
                </c:pt>
                <c:pt idx="1147">
                  <c:v>44389</c:v>
                </c:pt>
                <c:pt idx="1148">
                  <c:v>44386</c:v>
                </c:pt>
                <c:pt idx="1149">
                  <c:v>44385</c:v>
                </c:pt>
                <c:pt idx="1150">
                  <c:v>44384</c:v>
                </c:pt>
                <c:pt idx="1151">
                  <c:v>44383</c:v>
                </c:pt>
                <c:pt idx="1152">
                  <c:v>44382</c:v>
                </c:pt>
                <c:pt idx="1153">
                  <c:v>44379</c:v>
                </c:pt>
                <c:pt idx="1154">
                  <c:v>44378</c:v>
                </c:pt>
                <c:pt idx="1155">
                  <c:v>44377</c:v>
                </c:pt>
                <c:pt idx="1156">
                  <c:v>44376</c:v>
                </c:pt>
                <c:pt idx="1157">
                  <c:v>44375</c:v>
                </c:pt>
                <c:pt idx="1158">
                  <c:v>44372</c:v>
                </c:pt>
                <c:pt idx="1159">
                  <c:v>44371</c:v>
                </c:pt>
                <c:pt idx="1160">
                  <c:v>44370</c:v>
                </c:pt>
                <c:pt idx="1161">
                  <c:v>44369</c:v>
                </c:pt>
                <c:pt idx="1162">
                  <c:v>44368</c:v>
                </c:pt>
                <c:pt idx="1163">
                  <c:v>44365</c:v>
                </c:pt>
                <c:pt idx="1164">
                  <c:v>44364</c:v>
                </c:pt>
                <c:pt idx="1165">
                  <c:v>44363</c:v>
                </c:pt>
                <c:pt idx="1166">
                  <c:v>44362</c:v>
                </c:pt>
                <c:pt idx="1167">
                  <c:v>44361</c:v>
                </c:pt>
                <c:pt idx="1168">
                  <c:v>44358</c:v>
                </c:pt>
                <c:pt idx="1169">
                  <c:v>44357</c:v>
                </c:pt>
                <c:pt idx="1170">
                  <c:v>44356</c:v>
                </c:pt>
                <c:pt idx="1171">
                  <c:v>44355</c:v>
                </c:pt>
                <c:pt idx="1172">
                  <c:v>44354</c:v>
                </c:pt>
                <c:pt idx="1173">
                  <c:v>44351</c:v>
                </c:pt>
                <c:pt idx="1174">
                  <c:v>44350</c:v>
                </c:pt>
                <c:pt idx="1175">
                  <c:v>44349</c:v>
                </c:pt>
                <c:pt idx="1176">
                  <c:v>44348</c:v>
                </c:pt>
                <c:pt idx="1177">
                  <c:v>44347</c:v>
                </c:pt>
                <c:pt idx="1178">
                  <c:v>44344</c:v>
                </c:pt>
                <c:pt idx="1179">
                  <c:v>44343</c:v>
                </c:pt>
                <c:pt idx="1180">
                  <c:v>44342</c:v>
                </c:pt>
                <c:pt idx="1181">
                  <c:v>44341</c:v>
                </c:pt>
                <c:pt idx="1182">
                  <c:v>44340</c:v>
                </c:pt>
                <c:pt idx="1183">
                  <c:v>44337</c:v>
                </c:pt>
                <c:pt idx="1184">
                  <c:v>44336</c:v>
                </c:pt>
                <c:pt idx="1185">
                  <c:v>44335</c:v>
                </c:pt>
                <c:pt idx="1186">
                  <c:v>44334</c:v>
                </c:pt>
                <c:pt idx="1187">
                  <c:v>44333</c:v>
                </c:pt>
                <c:pt idx="1188">
                  <c:v>44330</c:v>
                </c:pt>
                <c:pt idx="1189">
                  <c:v>44328</c:v>
                </c:pt>
                <c:pt idx="1190">
                  <c:v>44327</c:v>
                </c:pt>
                <c:pt idx="1191">
                  <c:v>44326</c:v>
                </c:pt>
                <c:pt idx="1192">
                  <c:v>44323</c:v>
                </c:pt>
                <c:pt idx="1193">
                  <c:v>44322</c:v>
                </c:pt>
                <c:pt idx="1194">
                  <c:v>44321</c:v>
                </c:pt>
                <c:pt idx="1195">
                  <c:v>44320</c:v>
                </c:pt>
                <c:pt idx="1196">
                  <c:v>44319</c:v>
                </c:pt>
                <c:pt idx="1197">
                  <c:v>44316</c:v>
                </c:pt>
                <c:pt idx="1198">
                  <c:v>44315</c:v>
                </c:pt>
                <c:pt idx="1199">
                  <c:v>44314</c:v>
                </c:pt>
                <c:pt idx="1200">
                  <c:v>44313</c:v>
                </c:pt>
                <c:pt idx="1201">
                  <c:v>44312</c:v>
                </c:pt>
                <c:pt idx="1202">
                  <c:v>44309</c:v>
                </c:pt>
                <c:pt idx="1203">
                  <c:v>44308</c:v>
                </c:pt>
                <c:pt idx="1204">
                  <c:v>44306</c:v>
                </c:pt>
                <c:pt idx="1205">
                  <c:v>44305</c:v>
                </c:pt>
                <c:pt idx="1206">
                  <c:v>44302</c:v>
                </c:pt>
                <c:pt idx="1207">
                  <c:v>44301</c:v>
                </c:pt>
                <c:pt idx="1208">
                  <c:v>44299</c:v>
                </c:pt>
                <c:pt idx="1209">
                  <c:v>44298</c:v>
                </c:pt>
                <c:pt idx="1210">
                  <c:v>44295</c:v>
                </c:pt>
                <c:pt idx="1211">
                  <c:v>44294</c:v>
                </c:pt>
                <c:pt idx="1212">
                  <c:v>44293</c:v>
                </c:pt>
                <c:pt idx="1213">
                  <c:v>44292</c:v>
                </c:pt>
                <c:pt idx="1214">
                  <c:v>44291</c:v>
                </c:pt>
              </c:numCache>
            </c:numRef>
          </c:cat>
          <c:val>
            <c:numRef>
              <c:f>Input!$E$11:$E$1225</c:f>
              <c:numCache>
                <c:formatCode>#,##0.0</c:formatCode>
                <c:ptCount val="1215"/>
                <c:pt idx="0">
                  <c:v>36989</c:v>
                </c:pt>
                <c:pt idx="1">
                  <c:v>27500</c:v>
                </c:pt>
                <c:pt idx="2">
                  <c:v>19155</c:v>
                </c:pt>
                <c:pt idx="3">
                  <c:v>22889</c:v>
                </c:pt>
                <c:pt idx="4">
                  <c:v>43366</c:v>
                </c:pt>
                <c:pt idx="5">
                  <c:v>60566</c:v>
                </c:pt>
                <c:pt idx="6">
                  <c:v>33513</c:v>
                </c:pt>
                <c:pt idx="7">
                  <c:v>61601</c:v>
                </c:pt>
                <c:pt idx="8">
                  <c:v>121957</c:v>
                </c:pt>
                <c:pt idx="9">
                  <c:v>20392</c:v>
                </c:pt>
                <c:pt idx="12">
                  <c:v>30535</c:v>
                </c:pt>
                <c:pt idx="13">
                  <c:v>25175</c:v>
                </c:pt>
                <c:pt idx="14">
                  <c:v>40288</c:v>
                </c:pt>
                <c:pt idx="15">
                  <c:v>123556</c:v>
                </c:pt>
                <c:pt idx="16">
                  <c:v>13374</c:v>
                </c:pt>
                <c:pt idx="17">
                  <c:v>22884</c:v>
                </c:pt>
                <c:pt idx="18">
                  <c:v>12820</c:v>
                </c:pt>
                <c:pt idx="19">
                  <c:v>20274</c:v>
                </c:pt>
                <c:pt idx="20">
                  <c:v>24165</c:v>
                </c:pt>
                <c:pt idx="21">
                  <c:v>27046</c:v>
                </c:pt>
                <c:pt idx="22">
                  <c:v>25537</c:v>
                </c:pt>
                <c:pt idx="23">
                  <c:v>10032</c:v>
                </c:pt>
                <c:pt idx="24">
                  <c:v>14582</c:v>
                </c:pt>
                <c:pt idx="25">
                  <c:v>2696</c:v>
                </c:pt>
                <c:pt idx="26">
                  <c:v>8521</c:v>
                </c:pt>
                <c:pt idx="27">
                  <c:v>30817</c:v>
                </c:pt>
                <c:pt idx="28">
                  <c:v>3826</c:v>
                </c:pt>
                <c:pt idx="29">
                  <c:v>8547</c:v>
                </c:pt>
                <c:pt idx="30">
                  <c:v>2710</c:v>
                </c:pt>
                <c:pt idx="31">
                  <c:v>4577</c:v>
                </c:pt>
                <c:pt idx="32">
                  <c:v>3799</c:v>
                </c:pt>
                <c:pt idx="33">
                  <c:v>5790</c:v>
                </c:pt>
                <c:pt idx="34">
                  <c:v>14051</c:v>
                </c:pt>
                <c:pt idx="35">
                  <c:v>11448</c:v>
                </c:pt>
                <c:pt idx="36">
                  <c:v>7431</c:v>
                </c:pt>
                <c:pt idx="37">
                  <c:v>28173</c:v>
                </c:pt>
                <c:pt idx="38">
                  <c:v>7254</c:v>
                </c:pt>
                <c:pt idx="39">
                  <c:v>7102</c:v>
                </c:pt>
                <c:pt idx="40">
                  <c:v>15267</c:v>
                </c:pt>
                <c:pt idx="41">
                  <c:v>11703</c:v>
                </c:pt>
                <c:pt idx="42">
                  <c:v>10837</c:v>
                </c:pt>
                <c:pt idx="43">
                  <c:v>20586</c:v>
                </c:pt>
                <c:pt idx="44">
                  <c:v>77374</c:v>
                </c:pt>
                <c:pt idx="45">
                  <c:v>35233</c:v>
                </c:pt>
                <c:pt idx="46">
                  <c:v>15308</c:v>
                </c:pt>
                <c:pt idx="47">
                  <c:v>6968</c:v>
                </c:pt>
                <c:pt idx="48">
                  <c:v>19171</c:v>
                </c:pt>
                <c:pt idx="49">
                  <c:v>18718</c:v>
                </c:pt>
                <c:pt idx="50">
                  <c:v>10021</c:v>
                </c:pt>
                <c:pt idx="51">
                  <c:v>13086</c:v>
                </c:pt>
                <c:pt idx="52">
                  <c:v>9786</c:v>
                </c:pt>
                <c:pt idx="53">
                  <c:v>5963</c:v>
                </c:pt>
                <c:pt idx="54">
                  <c:v>8332</c:v>
                </c:pt>
                <c:pt idx="55">
                  <c:v>10180</c:v>
                </c:pt>
                <c:pt idx="56">
                  <c:v>11192</c:v>
                </c:pt>
                <c:pt idx="57">
                  <c:v>18089</c:v>
                </c:pt>
                <c:pt idx="58">
                  <c:v>3964</c:v>
                </c:pt>
                <c:pt idx="59">
                  <c:v>8068</c:v>
                </c:pt>
                <c:pt idx="60">
                  <c:v>11249</c:v>
                </c:pt>
                <c:pt idx="61">
                  <c:v>8837</c:v>
                </c:pt>
                <c:pt idx="62">
                  <c:v>7495</c:v>
                </c:pt>
                <c:pt idx="63">
                  <c:v>42326</c:v>
                </c:pt>
                <c:pt idx="64">
                  <c:v>21965</c:v>
                </c:pt>
                <c:pt idx="65">
                  <c:v>5782</c:v>
                </c:pt>
                <c:pt idx="66">
                  <c:v>6426</c:v>
                </c:pt>
                <c:pt idx="67">
                  <c:v>2759</c:v>
                </c:pt>
                <c:pt idx="68">
                  <c:v>19977</c:v>
                </c:pt>
                <c:pt idx="69">
                  <c:v>3337</c:v>
                </c:pt>
                <c:pt idx="70">
                  <c:v>7886</c:v>
                </c:pt>
                <c:pt idx="71">
                  <c:v>3114</c:v>
                </c:pt>
                <c:pt idx="72">
                  <c:v>10444</c:v>
                </c:pt>
                <c:pt idx="73">
                  <c:v>14485</c:v>
                </c:pt>
                <c:pt idx="74">
                  <c:v>10948</c:v>
                </c:pt>
                <c:pt idx="75">
                  <c:v>10595</c:v>
                </c:pt>
                <c:pt idx="76">
                  <c:v>4443</c:v>
                </c:pt>
                <c:pt idx="77">
                  <c:v>2334</c:v>
                </c:pt>
                <c:pt idx="78">
                  <c:v>2393</c:v>
                </c:pt>
                <c:pt idx="79">
                  <c:v>7944</c:v>
                </c:pt>
                <c:pt idx="80">
                  <c:v>12099</c:v>
                </c:pt>
                <c:pt idx="81">
                  <c:v>5515</c:v>
                </c:pt>
                <c:pt idx="82">
                  <c:v>13481</c:v>
                </c:pt>
                <c:pt idx="83">
                  <c:v>5552</c:v>
                </c:pt>
                <c:pt idx="84">
                  <c:v>5599</c:v>
                </c:pt>
                <c:pt idx="85">
                  <c:v>12978</c:v>
                </c:pt>
                <c:pt idx="86">
                  <c:v>6639</c:v>
                </c:pt>
                <c:pt idx="87">
                  <c:v>5654</c:v>
                </c:pt>
                <c:pt idx="88">
                  <c:v>5212</c:v>
                </c:pt>
                <c:pt idx="89">
                  <c:v>12787</c:v>
                </c:pt>
                <c:pt idx="90">
                  <c:v>10354</c:v>
                </c:pt>
                <c:pt idx="91">
                  <c:v>4441</c:v>
                </c:pt>
                <c:pt idx="92">
                  <c:v>5373</c:v>
                </c:pt>
                <c:pt idx="93">
                  <c:v>4473</c:v>
                </c:pt>
                <c:pt idx="94">
                  <c:v>3639</c:v>
                </c:pt>
                <c:pt idx="95">
                  <c:v>5264</c:v>
                </c:pt>
                <c:pt idx="96">
                  <c:v>4511</c:v>
                </c:pt>
                <c:pt idx="97">
                  <c:v>4072</c:v>
                </c:pt>
                <c:pt idx="98">
                  <c:v>6230</c:v>
                </c:pt>
                <c:pt idx="99">
                  <c:v>47844</c:v>
                </c:pt>
                <c:pt idx="100">
                  <c:v>21471</c:v>
                </c:pt>
                <c:pt idx="101">
                  <c:v>22427</c:v>
                </c:pt>
                <c:pt idx="102">
                  <c:v>43728</c:v>
                </c:pt>
                <c:pt idx="103">
                  <c:v>14230</c:v>
                </c:pt>
                <c:pt idx="104">
                  <c:v>3965</c:v>
                </c:pt>
                <c:pt idx="105">
                  <c:v>5515</c:v>
                </c:pt>
                <c:pt idx="106">
                  <c:v>12377</c:v>
                </c:pt>
                <c:pt idx="107">
                  <c:v>3351</c:v>
                </c:pt>
                <c:pt idx="108">
                  <c:v>2401</c:v>
                </c:pt>
                <c:pt idx="109">
                  <c:v>23888</c:v>
                </c:pt>
                <c:pt idx="110">
                  <c:v>2729</c:v>
                </c:pt>
                <c:pt idx="111">
                  <c:v>70512</c:v>
                </c:pt>
                <c:pt idx="112">
                  <c:v>21866</c:v>
                </c:pt>
                <c:pt idx="113">
                  <c:v>25712</c:v>
                </c:pt>
                <c:pt idx="114">
                  <c:v>5329</c:v>
                </c:pt>
                <c:pt idx="115">
                  <c:v>4906</c:v>
                </c:pt>
                <c:pt idx="116">
                  <c:v>14478</c:v>
                </c:pt>
                <c:pt idx="117">
                  <c:v>6309</c:v>
                </c:pt>
                <c:pt idx="118">
                  <c:v>4182</c:v>
                </c:pt>
                <c:pt idx="119">
                  <c:v>11283</c:v>
                </c:pt>
                <c:pt idx="120">
                  <c:v>5288</c:v>
                </c:pt>
                <c:pt idx="121">
                  <c:v>18866</c:v>
                </c:pt>
                <c:pt idx="122">
                  <c:v>10486</c:v>
                </c:pt>
                <c:pt idx="123">
                  <c:v>15368</c:v>
                </c:pt>
                <c:pt idx="124">
                  <c:v>9334</c:v>
                </c:pt>
                <c:pt idx="125">
                  <c:v>14544</c:v>
                </c:pt>
                <c:pt idx="126">
                  <c:v>23723</c:v>
                </c:pt>
                <c:pt idx="127">
                  <c:v>18065</c:v>
                </c:pt>
                <c:pt idx="128">
                  <c:v>12683</c:v>
                </c:pt>
                <c:pt idx="129">
                  <c:v>28507</c:v>
                </c:pt>
                <c:pt idx="130">
                  <c:v>13200</c:v>
                </c:pt>
                <c:pt idx="131">
                  <c:v>12919</c:v>
                </c:pt>
                <c:pt idx="132">
                  <c:v>19440</c:v>
                </c:pt>
                <c:pt idx="133">
                  <c:v>32570</c:v>
                </c:pt>
                <c:pt idx="134">
                  <c:v>9448</c:v>
                </c:pt>
                <c:pt idx="135">
                  <c:v>8709</c:v>
                </c:pt>
                <c:pt idx="136">
                  <c:v>24502</c:v>
                </c:pt>
                <c:pt idx="137">
                  <c:v>26497</c:v>
                </c:pt>
                <c:pt idx="138">
                  <c:v>49205</c:v>
                </c:pt>
                <c:pt idx="139">
                  <c:v>26668</c:v>
                </c:pt>
                <c:pt idx="140">
                  <c:v>20498</c:v>
                </c:pt>
                <c:pt idx="141">
                  <c:v>11330</c:v>
                </c:pt>
                <c:pt idx="142">
                  <c:v>76497</c:v>
                </c:pt>
                <c:pt idx="143">
                  <c:v>13312</c:v>
                </c:pt>
                <c:pt idx="144">
                  <c:v>8064</c:v>
                </c:pt>
                <c:pt idx="145">
                  <c:v>6780</c:v>
                </c:pt>
                <c:pt idx="146">
                  <c:v>40660</c:v>
                </c:pt>
                <c:pt idx="147">
                  <c:v>7293</c:v>
                </c:pt>
                <c:pt idx="148">
                  <c:v>34287</c:v>
                </c:pt>
                <c:pt idx="149">
                  <c:v>8097</c:v>
                </c:pt>
                <c:pt idx="150">
                  <c:v>7756</c:v>
                </c:pt>
                <c:pt idx="151">
                  <c:v>7817</c:v>
                </c:pt>
                <c:pt idx="152">
                  <c:v>16156</c:v>
                </c:pt>
                <c:pt idx="153">
                  <c:v>27757</c:v>
                </c:pt>
                <c:pt idx="154">
                  <c:v>63175</c:v>
                </c:pt>
                <c:pt idx="155">
                  <c:v>8387</c:v>
                </c:pt>
                <c:pt idx="156">
                  <c:v>17373</c:v>
                </c:pt>
                <c:pt idx="157">
                  <c:v>9265</c:v>
                </c:pt>
                <c:pt idx="158">
                  <c:v>2134</c:v>
                </c:pt>
                <c:pt idx="159">
                  <c:v>8350</c:v>
                </c:pt>
                <c:pt idx="160">
                  <c:v>3397</c:v>
                </c:pt>
                <c:pt idx="161">
                  <c:v>8931</c:v>
                </c:pt>
                <c:pt idx="162">
                  <c:v>7555</c:v>
                </c:pt>
                <c:pt idx="163">
                  <c:v>4079</c:v>
                </c:pt>
                <c:pt idx="164">
                  <c:v>12925</c:v>
                </c:pt>
                <c:pt idx="165">
                  <c:v>8798</c:v>
                </c:pt>
                <c:pt idx="166">
                  <c:v>5752</c:v>
                </c:pt>
                <c:pt idx="167">
                  <c:v>3627</c:v>
                </c:pt>
                <c:pt idx="168">
                  <c:v>4042</c:v>
                </c:pt>
                <c:pt idx="169">
                  <c:v>4904</c:v>
                </c:pt>
                <c:pt idx="170">
                  <c:v>1445</c:v>
                </c:pt>
                <c:pt idx="171">
                  <c:v>20927</c:v>
                </c:pt>
                <c:pt idx="172">
                  <c:v>2027</c:v>
                </c:pt>
                <c:pt idx="173">
                  <c:v>4755</c:v>
                </c:pt>
                <c:pt idx="174">
                  <c:v>2853</c:v>
                </c:pt>
                <c:pt idx="175">
                  <c:v>5272</c:v>
                </c:pt>
                <c:pt idx="176">
                  <c:v>1660</c:v>
                </c:pt>
                <c:pt idx="177">
                  <c:v>7540</c:v>
                </c:pt>
                <c:pt idx="178">
                  <c:v>2764</c:v>
                </c:pt>
                <c:pt idx="179">
                  <c:v>4578</c:v>
                </c:pt>
                <c:pt idx="180">
                  <c:v>5771</c:v>
                </c:pt>
                <c:pt idx="181">
                  <c:v>4375</c:v>
                </c:pt>
                <c:pt idx="182">
                  <c:v>3544</c:v>
                </c:pt>
                <c:pt idx="183">
                  <c:v>4364</c:v>
                </c:pt>
                <c:pt idx="184">
                  <c:v>4525</c:v>
                </c:pt>
                <c:pt idx="185">
                  <c:v>14430</c:v>
                </c:pt>
                <c:pt idx="186">
                  <c:v>9413</c:v>
                </c:pt>
                <c:pt idx="187">
                  <c:v>4435</c:v>
                </c:pt>
                <c:pt idx="188">
                  <c:v>6389</c:v>
                </c:pt>
                <c:pt idx="189">
                  <c:v>2888</c:v>
                </c:pt>
                <c:pt idx="190">
                  <c:v>2813</c:v>
                </c:pt>
                <c:pt idx="191">
                  <c:v>2505</c:v>
                </c:pt>
                <c:pt idx="192">
                  <c:v>36425</c:v>
                </c:pt>
                <c:pt idx="193">
                  <c:v>6028</c:v>
                </c:pt>
                <c:pt idx="194">
                  <c:v>16524</c:v>
                </c:pt>
                <c:pt idx="195">
                  <c:v>3893</c:v>
                </c:pt>
                <c:pt idx="196">
                  <c:v>25834</c:v>
                </c:pt>
                <c:pt idx="197">
                  <c:v>5692</c:v>
                </c:pt>
                <c:pt idx="198">
                  <c:v>6922</c:v>
                </c:pt>
                <c:pt idx="199">
                  <c:v>4060</c:v>
                </c:pt>
                <c:pt idx="200">
                  <c:v>2490</c:v>
                </c:pt>
                <c:pt idx="201">
                  <c:v>6023</c:v>
                </c:pt>
                <c:pt idx="202">
                  <c:v>18602</c:v>
                </c:pt>
                <c:pt idx="203">
                  <c:v>3800</c:v>
                </c:pt>
                <c:pt idx="204">
                  <c:v>6917</c:v>
                </c:pt>
                <c:pt idx="205">
                  <c:v>6873</c:v>
                </c:pt>
                <c:pt idx="206">
                  <c:v>3455</c:v>
                </c:pt>
                <c:pt idx="207">
                  <c:v>9690</c:v>
                </c:pt>
                <c:pt idx="208">
                  <c:v>4630</c:v>
                </c:pt>
                <c:pt idx="209">
                  <c:v>2710</c:v>
                </c:pt>
                <c:pt idx="210">
                  <c:v>2534</c:v>
                </c:pt>
                <c:pt idx="211">
                  <c:v>2739</c:v>
                </c:pt>
                <c:pt idx="212">
                  <c:v>13191</c:v>
                </c:pt>
                <c:pt idx="213">
                  <c:v>2907</c:v>
                </c:pt>
                <c:pt idx="214">
                  <c:v>2526</c:v>
                </c:pt>
                <c:pt idx="215">
                  <c:v>2750</c:v>
                </c:pt>
                <c:pt idx="216">
                  <c:v>3851</c:v>
                </c:pt>
                <c:pt idx="217">
                  <c:v>5013</c:v>
                </c:pt>
                <c:pt idx="218">
                  <c:v>2297</c:v>
                </c:pt>
                <c:pt idx="219">
                  <c:v>5246</c:v>
                </c:pt>
                <c:pt idx="220">
                  <c:v>15151</c:v>
                </c:pt>
                <c:pt idx="221">
                  <c:v>5404</c:v>
                </c:pt>
                <c:pt idx="222">
                  <c:v>14259</c:v>
                </c:pt>
                <c:pt idx="223">
                  <c:v>5703</c:v>
                </c:pt>
                <c:pt idx="224">
                  <c:v>3495</c:v>
                </c:pt>
                <c:pt idx="225">
                  <c:v>6026</c:v>
                </c:pt>
                <c:pt idx="226">
                  <c:v>4311</c:v>
                </c:pt>
                <c:pt idx="227">
                  <c:v>18616</c:v>
                </c:pt>
                <c:pt idx="228">
                  <c:v>22916</c:v>
                </c:pt>
                <c:pt idx="229">
                  <c:v>34091</c:v>
                </c:pt>
                <c:pt idx="230">
                  <c:v>23059</c:v>
                </c:pt>
                <c:pt idx="231">
                  <c:v>9830</c:v>
                </c:pt>
                <c:pt idx="232">
                  <c:v>9361</c:v>
                </c:pt>
                <c:pt idx="233">
                  <c:v>20710</c:v>
                </c:pt>
                <c:pt idx="234">
                  <c:v>10076</c:v>
                </c:pt>
                <c:pt idx="235">
                  <c:v>3459</c:v>
                </c:pt>
                <c:pt idx="236">
                  <c:v>14502</c:v>
                </c:pt>
                <c:pt idx="237">
                  <c:v>18330</c:v>
                </c:pt>
                <c:pt idx="238">
                  <c:v>7187</c:v>
                </c:pt>
                <c:pt idx="239">
                  <c:v>11325</c:v>
                </c:pt>
                <c:pt idx="240">
                  <c:v>19463</c:v>
                </c:pt>
                <c:pt idx="241">
                  <c:v>6689</c:v>
                </c:pt>
                <c:pt idx="242">
                  <c:v>5250</c:v>
                </c:pt>
                <c:pt idx="243">
                  <c:v>18041</c:v>
                </c:pt>
                <c:pt idx="244">
                  <c:v>6931</c:v>
                </c:pt>
                <c:pt idx="245">
                  <c:v>3482</c:v>
                </c:pt>
                <c:pt idx="246">
                  <c:v>1377</c:v>
                </c:pt>
                <c:pt idx="247">
                  <c:v>4870</c:v>
                </c:pt>
                <c:pt idx="248">
                  <c:v>11962</c:v>
                </c:pt>
                <c:pt idx="249">
                  <c:v>7434</c:v>
                </c:pt>
                <c:pt idx="250">
                  <c:v>36575</c:v>
                </c:pt>
                <c:pt idx="251">
                  <c:v>16496</c:v>
                </c:pt>
                <c:pt idx="252">
                  <c:v>10955</c:v>
                </c:pt>
                <c:pt idx="253">
                  <c:v>24822</c:v>
                </c:pt>
                <c:pt idx="254">
                  <c:v>27402</c:v>
                </c:pt>
                <c:pt idx="255">
                  <c:v>11683</c:v>
                </c:pt>
                <c:pt idx="256">
                  <c:v>12478</c:v>
                </c:pt>
                <c:pt idx="257">
                  <c:v>10028</c:v>
                </c:pt>
                <c:pt idx="258">
                  <c:v>8181</c:v>
                </c:pt>
                <c:pt idx="259">
                  <c:v>7650</c:v>
                </c:pt>
                <c:pt idx="260">
                  <c:v>24135</c:v>
                </c:pt>
                <c:pt idx="261">
                  <c:v>6933</c:v>
                </c:pt>
                <c:pt idx="262">
                  <c:v>3485</c:v>
                </c:pt>
                <c:pt idx="263">
                  <c:v>3725</c:v>
                </c:pt>
                <c:pt idx="264">
                  <c:v>3841</c:v>
                </c:pt>
                <c:pt idx="265">
                  <c:v>4441</c:v>
                </c:pt>
                <c:pt idx="266">
                  <c:v>4475</c:v>
                </c:pt>
                <c:pt idx="267">
                  <c:v>6575</c:v>
                </c:pt>
                <c:pt idx="268">
                  <c:v>12480</c:v>
                </c:pt>
                <c:pt idx="269">
                  <c:v>3613</c:v>
                </c:pt>
                <c:pt idx="270">
                  <c:v>14222</c:v>
                </c:pt>
                <c:pt idx="271">
                  <c:v>4447</c:v>
                </c:pt>
                <c:pt idx="272">
                  <c:v>8370</c:v>
                </c:pt>
                <c:pt idx="273">
                  <c:v>6629</c:v>
                </c:pt>
                <c:pt idx="274">
                  <c:v>6406</c:v>
                </c:pt>
                <c:pt idx="275">
                  <c:v>3219</c:v>
                </c:pt>
                <c:pt idx="276">
                  <c:v>9224</c:v>
                </c:pt>
                <c:pt idx="277">
                  <c:v>7380</c:v>
                </c:pt>
                <c:pt idx="278">
                  <c:v>3897</c:v>
                </c:pt>
                <c:pt idx="279">
                  <c:v>129572</c:v>
                </c:pt>
                <c:pt idx="280">
                  <c:v>20258</c:v>
                </c:pt>
                <c:pt idx="281">
                  <c:v>8124</c:v>
                </c:pt>
                <c:pt idx="282">
                  <c:v>4277</c:v>
                </c:pt>
                <c:pt idx="283">
                  <c:v>5872</c:v>
                </c:pt>
                <c:pt idx="284">
                  <c:v>6862</c:v>
                </c:pt>
                <c:pt idx="285">
                  <c:v>23170</c:v>
                </c:pt>
                <c:pt idx="286">
                  <c:v>23150</c:v>
                </c:pt>
                <c:pt idx="287">
                  <c:v>25092</c:v>
                </c:pt>
                <c:pt idx="288">
                  <c:v>9941</c:v>
                </c:pt>
                <c:pt idx="289">
                  <c:v>10373</c:v>
                </c:pt>
                <c:pt idx="290">
                  <c:v>18936</c:v>
                </c:pt>
                <c:pt idx="291">
                  <c:v>19812</c:v>
                </c:pt>
                <c:pt idx="292">
                  <c:v>5921</c:v>
                </c:pt>
                <c:pt idx="293">
                  <c:v>10040</c:v>
                </c:pt>
                <c:pt idx="294">
                  <c:v>7078</c:v>
                </c:pt>
                <c:pt idx="295">
                  <c:v>2814</c:v>
                </c:pt>
                <c:pt idx="296">
                  <c:v>24696</c:v>
                </c:pt>
                <c:pt idx="297">
                  <c:v>12700</c:v>
                </c:pt>
                <c:pt idx="298">
                  <c:v>11272</c:v>
                </c:pt>
                <c:pt idx="299">
                  <c:v>4525</c:v>
                </c:pt>
                <c:pt idx="300">
                  <c:v>12481</c:v>
                </c:pt>
                <c:pt idx="301">
                  <c:v>21412</c:v>
                </c:pt>
                <c:pt idx="302">
                  <c:v>50193</c:v>
                </c:pt>
                <c:pt idx="303">
                  <c:v>10140</c:v>
                </c:pt>
                <c:pt idx="304">
                  <c:v>3639</c:v>
                </c:pt>
                <c:pt idx="305">
                  <c:v>6865</c:v>
                </c:pt>
                <c:pt idx="306">
                  <c:v>7267</c:v>
                </c:pt>
                <c:pt idx="307">
                  <c:v>23876</c:v>
                </c:pt>
                <c:pt idx="308">
                  <c:v>15842</c:v>
                </c:pt>
                <c:pt idx="309">
                  <c:v>36140</c:v>
                </c:pt>
                <c:pt idx="310">
                  <c:v>13844</c:v>
                </c:pt>
                <c:pt idx="311">
                  <c:v>5935</c:v>
                </c:pt>
                <c:pt idx="312">
                  <c:v>5297</c:v>
                </c:pt>
                <c:pt idx="313">
                  <c:v>6695</c:v>
                </c:pt>
                <c:pt idx="314">
                  <c:v>5402</c:v>
                </c:pt>
                <c:pt idx="315">
                  <c:v>8041</c:v>
                </c:pt>
                <c:pt idx="316">
                  <c:v>26391</c:v>
                </c:pt>
                <c:pt idx="317">
                  <c:v>7032</c:v>
                </c:pt>
                <c:pt idx="318">
                  <c:v>13158</c:v>
                </c:pt>
                <c:pt idx="319">
                  <c:v>7527</c:v>
                </c:pt>
                <c:pt idx="320">
                  <c:v>12851</c:v>
                </c:pt>
                <c:pt idx="321">
                  <c:v>18049</c:v>
                </c:pt>
                <c:pt idx="322">
                  <c:v>8025</c:v>
                </c:pt>
                <c:pt idx="323">
                  <c:v>26159</c:v>
                </c:pt>
                <c:pt idx="324">
                  <c:v>6547</c:v>
                </c:pt>
                <c:pt idx="325">
                  <c:v>4828</c:v>
                </c:pt>
                <c:pt idx="326">
                  <c:v>9743</c:v>
                </c:pt>
                <c:pt idx="327">
                  <c:v>19427</c:v>
                </c:pt>
                <c:pt idx="328">
                  <c:v>16643</c:v>
                </c:pt>
                <c:pt idx="329">
                  <c:v>9041</c:v>
                </c:pt>
                <c:pt idx="330">
                  <c:v>7074</c:v>
                </c:pt>
                <c:pt idx="331">
                  <c:v>16609</c:v>
                </c:pt>
                <c:pt idx="332">
                  <c:v>14999</c:v>
                </c:pt>
                <c:pt idx="333">
                  <c:v>25058</c:v>
                </c:pt>
                <c:pt idx="334">
                  <c:v>13562</c:v>
                </c:pt>
                <c:pt idx="335">
                  <c:v>6479</c:v>
                </c:pt>
                <c:pt idx="336">
                  <c:v>12946</c:v>
                </c:pt>
                <c:pt idx="337">
                  <c:v>11123</c:v>
                </c:pt>
                <c:pt idx="338">
                  <c:v>34535</c:v>
                </c:pt>
                <c:pt idx="339">
                  <c:v>31518</c:v>
                </c:pt>
                <c:pt idx="340">
                  <c:v>5568</c:v>
                </c:pt>
                <c:pt idx="341">
                  <c:v>13590</c:v>
                </c:pt>
                <c:pt idx="342">
                  <c:v>25539</c:v>
                </c:pt>
                <c:pt idx="343">
                  <c:v>16454</c:v>
                </c:pt>
                <c:pt idx="344">
                  <c:v>36837</c:v>
                </c:pt>
                <c:pt idx="345">
                  <c:v>9354</c:v>
                </c:pt>
                <c:pt idx="346">
                  <c:v>8680</c:v>
                </c:pt>
                <c:pt idx="347">
                  <c:v>11232</c:v>
                </c:pt>
                <c:pt idx="348">
                  <c:v>19865</c:v>
                </c:pt>
                <c:pt idx="349">
                  <c:v>3255</c:v>
                </c:pt>
                <c:pt idx="350">
                  <c:v>27523</c:v>
                </c:pt>
                <c:pt idx="351">
                  <c:v>55744</c:v>
                </c:pt>
                <c:pt idx="352">
                  <c:v>8347</c:v>
                </c:pt>
                <c:pt idx="353">
                  <c:v>30142</c:v>
                </c:pt>
                <c:pt idx="354">
                  <c:v>30640</c:v>
                </c:pt>
                <c:pt idx="355">
                  <c:v>20388</c:v>
                </c:pt>
                <c:pt idx="356">
                  <c:v>28567</c:v>
                </c:pt>
                <c:pt idx="357">
                  <c:v>13011</c:v>
                </c:pt>
                <c:pt idx="358">
                  <c:v>41492</c:v>
                </c:pt>
                <c:pt idx="359">
                  <c:v>35170</c:v>
                </c:pt>
                <c:pt idx="360">
                  <c:v>24650</c:v>
                </c:pt>
                <c:pt idx="361">
                  <c:v>23245</c:v>
                </c:pt>
                <c:pt idx="362">
                  <c:v>41565</c:v>
                </c:pt>
                <c:pt idx="363">
                  <c:v>15846</c:v>
                </c:pt>
                <c:pt idx="364">
                  <c:v>5254</c:v>
                </c:pt>
                <c:pt idx="365">
                  <c:v>18431</c:v>
                </c:pt>
                <c:pt idx="366">
                  <c:v>7208</c:v>
                </c:pt>
                <c:pt idx="367">
                  <c:v>9485</c:v>
                </c:pt>
                <c:pt idx="368">
                  <c:v>30317</c:v>
                </c:pt>
                <c:pt idx="369">
                  <c:v>20574</c:v>
                </c:pt>
                <c:pt idx="370">
                  <c:v>7606</c:v>
                </c:pt>
                <c:pt idx="371">
                  <c:v>13610</c:v>
                </c:pt>
                <c:pt idx="372">
                  <c:v>25239</c:v>
                </c:pt>
                <c:pt idx="373">
                  <c:v>32282</c:v>
                </c:pt>
                <c:pt idx="374">
                  <c:v>6942</c:v>
                </c:pt>
                <c:pt idx="375">
                  <c:v>20668</c:v>
                </c:pt>
                <c:pt idx="376">
                  <c:v>8018</c:v>
                </c:pt>
                <c:pt idx="377">
                  <c:v>53188</c:v>
                </c:pt>
                <c:pt idx="378">
                  <c:v>13074</c:v>
                </c:pt>
                <c:pt idx="379">
                  <c:v>5026</c:v>
                </c:pt>
                <c:pt idx="380">
                  <c:v>32844</c:v>
                </c:pt>
                <c:pt idx="381">
                  <c:v>18075</c:v>
                </c:pt>
                <c:pt idx="382">
                  <c:v>8483</c:v>
                </c:pt>
                <c:pt idx="383">
                  <c:v>10041</c:v>
                </c:pt>
                <c:pt idx="384">
                  <c:v>8735</c:v>
                </c:pt>
                <c:pt idx="385">
                  <c:v>16472</c:v>
                </c:pt>
                <c:pt idx="386">
                  <c:v>10467</c:v>
                </c:pt>
                <c:pt idx="387">
                  <c:v>35374</c:v>
                </c:pt>
                <c:pt idx="388">
                  <c:v>3295</c:v>
                </c:pt>
                <c:pt idx="389">
                  <c:v>22537</c:v>
                </c:pt>
                <c:pt idx="390">
                  <c:v>30934</c:v>
                </c:pt>
                <c:pt idx="391">
                  <c:v>16719</c:v>
                </c:pt>
                <c:pt idx="392">
                  <c:v>66159</c:v>
                </c:pt>
                <c:pt idx="393">
                  <c:v>23564</c:v>
                </c:pt>
                <c:pt idx="394">
                  <c:v>20473</c:v>
                </c:pt>
                <c:pt idx="395">
                  <c:v>5345</c:v>
                </c:pt>
                <c:pt idx="396">
                  <c:v>39083</c:v>
                </c:pt>
                <c:pt idx="397">
                  <c:v>14344</c:v>
                </c:pt>
                <c:pt idx="398">
                  <c:v>8917</c:v>
                </c:pt>
                <c:pt idx="399">
                  <c:v>5511</c:v>
                </c:pt>
                <c:pt idx="400">
                  <c:v>8055</c:v>
                </c:pt>
                <c:pt idx="401">
                  <c:v>34503</c:v>
                </c:pt>
                <c:pt idx="402">
                  <c:v>4192</c:v>
                </c:pt>
                <c:pt idx="403">
                  <c:v>19551</c:v>
                </c:pt>
                <c:pt idx="404">
                  <c:v>10103</c:v>
                </c:pt>
                <c:pt idx="405">
                  <c:v>23074</c:v>
                </c:pt>
                <c:pt idx="406">
                  <c:v>10592</c:v>
                </c:pt>
                <c:pt idx="407">
                  <c:v>8146</c:v>
                </c:pt>
                <c:pt idx="408">
                  <c:v>14713</c:v>
                </c:pt>
                <c:pt idx="409">
                  <c:v>45762</c:v>
                </c:pt>
                <c:pt idx="410">
                  <c:v>73308</c:v>
                </c:pt>
                <c:pt idx="411">
                  <c:v>69032</c:v>
                </c:pt>
                <c:pt idx="412">
                  <c:v>50343</c:v>
                </c:pt>
                <c:pt idx="413">
                  <c:v>11609</c:v>
                </c:pt>
                <c:pt idx="414">
                  <c:v>14871</c:v>
                </c:pt>
                <c:pt idx="415">
                  <c:v>20744</c:v>
                </c:pt>
                <c:pt idx="416">
                  <c:v>17204</c:v>
                </c:pt>
                <c:pt idx="417">
                  <c:v>4751</c:v>
                </c:pt>
                <c:pt idx="418">
                  <c:v>12022</c:v>
                </c:pt>
                <c:pt idx="419">
                  <c:v>4665</c:v>
                </c:pt>
                <c:pt idx="420">
                  <c:v>36579</c:v>
                </c:pt>
                <c:pt idx="421">
                  <c:v>14769</c:v>
                </c:pt>
                <c:pt idx="422">
                  <c:v>5365</c:v>
                </c:pt>
                <c:pt idx="423">
                  <c:v>7802</c:v>
                </c:pt>
                <c:pt idx="424">
                  <c:v>48531</c:v>
                </c:pt>
                <c:pt idx="425">
                  <c:v>17754</c:v>
                </c:pt>
                <c:pt idx="426">
                  <c:v>60150</c:v>
                </c:pt>
                <c:pt idx="427">
                  <c:v>115604</c:v>
                </c:pt>
                <c:pt idx="428">
                  <c:v>16789</c:v>
                </c:pt>
                <c:pt idx="429">
                  <c:v>19704</c:v>
                </c:pt>
                <c:pt idx="430">
                  <c:v>6328</c:v>
                </c:pt>
                <c:pt idx="431">
                  <c:v>18721</c:v>
                </c:pt>
                <c:pt idx="432">
                  <c:v>12001</c:v>
                </c:pt>
                <c:pt idx="433">
                  <c:v>29082</c:v>
                </c:pt>
                <c:pt idx="434">
                  <c:v>58822</c:v>
                </c:pt>
                <c:pt idx="435">
                  <c:v>35606</c:v>
                </c:pt>
                <c:pt idx="436">
                  <c:v>6333</c:v>
                </c:pt>
                <c:pt idx="437">
                  <c:v>16421</c:v>
                </c:pt>
                <c:pt idx="438">
                  <c:v>7317</c:v>
                </c:pt>
                <c:pt idx="439">
                  <c:v>39087</c:v>
                </c:pt>
                <c:pt idx="440">
                  <c:v>13390</c:v>
                </c:pt>
                <c:pt idx="441">
                  <c:v>22005</c:v>
                </c:pt>
                <c:pt idx="442">
                  <c:v>16731</c:v>
                </c:pt>
                <c:pt idx="443">
                  <c:v>9126</c:v>
                </c:pt>
                <c:pt idx="444">
                  <c:v>4944</c:v>
                </c:pt>
                <c:pt idx="445">
                  <c:v>4060</c:v>
                </c:pt>
                <c:pt idx="446">
                  <c:v>6670</c:v>
                </c:pt>
                <c:pt idx="447">
                  <c:v>9418</c:v>
                </c:pt>
                <c:pt idx="448">
                  <c:v>34274</c:v>
                </c:pt>
                <c:pt idx="449">
                  <c:v>9534</c:v>
                </c:pt>
                <c:pt idx="450">
                  <c:v>7189</c:v>
                </c:pt>
                <c:pt idx="451">
                  <c:v>24609</c:v>
                </c:pt>
                <c:pt idx="452">
                  <c:v>5571</c:v>
                </c:pt>
                <c:pt idx="453">
                  <c:v>26716</c:v>
                </c:pt>
                <c:pt idx="454">
                  <c:v>4068</c:v>
                </c:pt>
                <c:pt idx="455">
                  <c:v>10885</c:v>
                </c:pt>
                <c:pt idx="456">
                  <c:v>2907</c:v>
                </c:pt>
                <c:pt idx="457">
                  <c:v>3622</c:v>
                </c:pt>
                <c:pt idx="458">
                  <c:v>13914</c:v>
                </c:pt>
                <c:pt idx="459">
                  <c:v>22031</c:v>
                </c:pt>
                <c:pt idx="460">
                  <c:v>6043</c:v>
                </c:pt>
                <c:pt idx="461">
                  <c:v>27197</c:v>
                </c:pt>
                <c:pt idx="462">
                  <c:v>15564</c:v>
                </c:pt>
                <c:pt idx="463">
                  <c:v>15271</c:v>
                </c:pt>
                <c:pt idx="464">
                  <c:v>6460</c:v>
                </c:pt>
                <c:pt idx="465">
                  <c:v>4801</c:v>
                </c:pt>
                <c:pt idx="466">
                  <c:v>6965</c:v>
                </c:pt>
                <c:pt idx="467">
                  <c:v>14602</c:v>
                </c:pt>
                <c:pt idx="468">
                  <c:v>7083</c:v>
                </c:pt>
                <c:pt idx="469">
                  <c:v>12111</c:v>
                </c:pt>
                <c:pt idx="470">
                  <c:v>4456</c:v>
                </c:pt>
                <c:pt idx="471">
                  <c:v>8735</c:v>
                </c:pt>
                <c:pt idx="472">
                  <c:v>12675</c:v>
                </c:pt>
                <c:pt idx="473">
                  <c:v>13127</c:v>
                </c:pt>
                <c:pt idx="474">
                  <c:v>16916</c:v>
                </c:pt>
                <c:pt idx="475">
                  <c:v>11065</c:v>
                </c:pt>
                <c:pt idx="476">
                  <c:v>23900</c:v>
                </c:pt>
                <c:pt idx="477">
                  <c:v>8391</c:v>
                </c:pt>
                <c:pt idx="478">
                  <c:v>4298</c:v>
                </c:pt>
                <c:pt idx="479">
                  <c:v>7898</c:v>
                </c:pt>
                <c:pt idx="480">
                  <c:v>8568</c:v>
                </c:pt>
                <c:pt idx="481">
                  <c:v>23210</c:v>
                </c:pt>
                <c:pt idx="482">
                  <c:v>15915</c:v>
                </c:pt>
                <c:pt idx="483">
                  <c:v>12940</c:v>
                </c:pt>
                <c:pt idx="484">
                  <c:v>16247</c:v>
                </c:pt>
                <c:pt idx="485">
                  <c:v>32580</c:v>
                </c:pt>
                <c:pt idx="486">
                  <c:v>14496</c:v>
                </c:pt>
                <c:pt idx="487">
                  <c:v>5796</c:v>
                </c:pt>
                <c:pt idx="488">
                  <c:v>19521</c:v>
                </c:pt>
                <c:pt idx="489">
                  <c:v>20255</c:v>
                </c:pt>
                <c:pt idx="490">
                  <c:v>9713</c:v>
                </c:pt>
                <c:pt idx="491">
                  <c:v>5378</c:v>
                </c:pt>
                <c:pt idx="492">
                  <c:v>9677</c:v>
                </c:pt>
                <c:pt idx="493">
                  <c:v>8687</c:v>
                </c:pt>
                <c:pt idx="494">
                  <c:v>16926</c:v>
                </c:pt>
                <c:pt idx="495">
                  <c:v>16695</c:v>
                </c:pt>
                <c:pt idx="496">
                  <c:v>40760</c:v>
                </c:pt>
                <c:pt idx="497">
                  <c:v>26854</c:v>
                </c:pt>
                <c:pt idx="498">
                  <c:v>12121</c:v>
                </c:pt>
                <c:pt idx="499">
                  <c:v>25643</c:v>
                </c:pt>
                <c:pt idx="500">
                  <c:v>12661</c:v>
                </c:pt>
                <c:pt idx="501">
                  <c:v>13351</c:v>
                </c:pt>
                <c:pt idx="502">
                  <c:v>15118</c:v>
                </c:pt>
                <c:pt idx="503">
                  <c:v>29491</c:v>
                </c:pt>
                <c:pt idx="504">
                  <c:v>19370</c:v>
                </c:pt>
                <c:pt idx="505">
                  <c:v>5029</c:v>
                </c:pt>
                <c:pt idx="506">
                  <c:v>3466</c:v>
                </c:pt>
                <c:pt idx="507">
                  <c:v>15465</c:v>
                </c:pt>
                <c:pt idx="508">
                  <c:v>12333</c:v>
                </c:pt>
                <c:pt idx="509">
                  <c:v>12631</c:v>
                </c:pt>
                <c:pt idx="510">
                  <c:v>4611</c:v>
                </c:pt>
                <c:pt idx="511">
                  <c:v>17496</c:v>
                </c:pt>
                <c:pt idx="512">
                  <c:v>16749</c:v>
                </c:pt>
                <c:pt idx="513">
                  <c:v>10630</c:v>
                </c:pt>
                <c:pt idx="514">
                  <c:v>2658</c:v>
                </c:pt>
                <c:pt idx="515">
                  <c:v>3944</c:v>
                </c:pt>
                <c:pt idx="516">
                  <c:v>20610</c:v>
                </c:pt>
                <c:pt idx="517">
                  <c:v>12499</c:v>
                </c:pt>
                <c:pt idx="518">
                  <c:v>3268</c:v>
                </c:pt>
                <c:pt idx="519">
                  <c:v>7665</c:v>
                </c:pt>
                <c:pt idx="520">
                  <c:v>7601</c:v>
                </c:pt>
                <c:pt idx="521">
                  <c:v>25455</c:v>
                </c:pt>
                <c:pt idx="522">
                  <c:v>5592</c:v>
                </c:pt>
                <c:pt idx="523">
                  <c:v>10936</c:v>
                </c:pt>
                <c:pt idx="524">
                  <c:v>3664</c:v>
                </c:pt>
                <c:pt idx="525">
                  <c:v>3035</c:v>
                </c:pt>
                <c:pt idx="526">
                  <c:v>22592</c:v>
                </c:pt>
                <c:pt idx="527">
                  <c:v>6446</c:v>
                </c:pt>
                <c:pt idx="528">
                  <c:v>19263</c:v>
                </c:pt>
                <c:pt idx="529">
                  <c:v>18016</c:v>
                </c:pt>
                <c:pt idx="530">
                  <c:v>6529</c:v>
                </c:pt>
                <c:pt idx="531">
                  <c:v>20835</c:v>
                </c:pt>
                <c:pt idx="532">
                  <c:v>38076</c:v>
                </c:pt>
                <c:pt idx="533">
                  <c:v>26155</c:v>
                </c:pt>
                <c:pt idx="534">
                  <c:v>12797</c:v>
                </c:pt>
                <c:pt idx="535">
                  <c:v>12106</c:v>
                </c:pt>
                <c:pt idx="536">
                  <c:v>48424</c:v>
                </c:pt>
                <c:pt idx="537">
                  <c:v>14411</c:v>
                </c:pt>
                <c:pt idx="538">
                  <c:v>24535</c:v>
                </c:pt>
                <c:pt idx="539">
                  <c:v>26867</c:v>
                </c:pt>
                <c:pt idx="540">
                  <c:v>15551</c:v>
                </c:pt>
                <c:pt idx="541">
                  <c:v>27783</c:v>
                </c:pt>
                <c:pt idx="542">
                  <c:v>5153</c:v>
                </c:pt>
                <c:pt idx="543">
                  <c:v>156791</c:v>
                </c:pt>
                <c:pt idx="544">
                  <c:v>27766</c:v>
                </c:pt>
                <c:pt idx="545">
                  <c:v>20910</c:v>
                </c:pt>
                <c:pt idx="546">
                  <c:v>25518</c:v>
                </c:pt>
                <c:pt idx="547">
                  <c:v>15007</c:v>
                </c:pt>
                <c:pt idx="548">
                  <c:v>16795</c:v>
                </c:pt>
                <c:pt idx="549">
                  <c:v>7921</c:v>
                </c:pt>
                <c:pt idx="550">
                  <c:v>18740</c:v>
                </c:pt>
                <c:pt idx="551">
                  <c:v>5248</c:v>
                </c:pt>
                <c:pt idx="552">
                  <c:v>4551</c:v>
                </c:pt>
                <c:pt idx="553">
                  <c:v>196770</c:v>
                </c:pt>
                <c:pt idx="554">
                  <c:v>9738</c:v>
                </c:pt>
                <c:pt idx="555">
                  <c:v>27262</c:v>
                </c:pt>
                <c:pt idx="556">
                  <c:v>8687</c:v>
                </c:pt>
                <c:pt idx="557">
                  <c:v>29909</c:v>
                </c:pt>
                <c:pt idx="558">
                  <c:v>20304</c:v>
                </c:pt>
                <c:pt idx="559">
                  <c:v>32631</c:v>
                </c:pt>
                <c:pt idx="560">
                  <c:v>62540</c:v>
                </c:pt>
                <c:pt idx="561">
                  <c:v>18124</c:v>
                </c:pt>
                <c:pt idx="562">
                  <c:v>42251</c:v>
                </c:pt>
                <c:pt idx="563">
                  <c:v>39303</c:v>
                </c:pt>
                <c:pt idx="564">
                  <c:v>14221</c:v>
                </c:pt>
                <c:pt idx="565">
                  <c:v>66714</c:v>
                </c:pt>
                <c:pt idx="566">
                  <c:v>26951</c:v>
                </c:pt>
                <c:pt idx="567">
                  <c:v>26793</c:v>
                </c:pt>
                <c:pt idx="568">
                  <c:v>12878</c:v>
                </c:pt>
                <c:pt idx="569">
                  <c:v>5606</c:v>
                </c:pt>
                <c:pt idx="570">
                  <c:v>10422</c:v>
                </c:pt>
                <c:pt idx="571">
                  <c:v>16483</c:v>
                </c:pt>
                <c:pt idx="572">
                  <c:v>24771</c:v>
                </c:pt>
                <c:pt idx="573">
                  <c:v>3854</c:v>
                </c:pt>
                <c:pt idx="574">
                  <c:v>3869</c:v>
                </c:pt>
                <c:pt idx="575">
                  <c:v>4304</c:v>
                </c:pt>
                <c:pt idx="576">
                  <c:v>19608</c:v>
                </c:pt>
                <c:pt idx="577">
                  <c:v>10679</c:v>
                </c:pt>
                <c:pt idx="578">
                  <c:v>2193</c:v>
                </c:pt>
                <c:pt idx="579">
                  <c:v>2923</c:v>
                </c:pt>
                <c:pt idx="580">
                  <c:v>5115</c:v>
                </c:pt>
                <c:pt idx="581">
                  <c:v>27463</c:v>
                </c:pt>
                <c:pt idx="582">
                  <c:v>25241</c:v>
                </c:pt>
                <c:pt idx="583">
                  <c:v>2770</c:v>
                </c:pt>
                <c:pt idx="584">
                  <c:v>1565</c:v>
                </c:pt>
                <c:pt idx="585">
                  <c:v>9622</c:v>
                </c:pt>
                <c:pt idx="586">
                  <c:v>3871</c:v>
                </c:pt>
                <c:pt idx="587">
                  <c:v>3573</c:v>
                </c:pt>
                <c:pt idx="588">
                  <c:v>4848</c:v>
                </c:pt>
                <c:pt idx="589">
                  <c:v>4856</c:v>
                </c:pt>
                <c:pt idx="590">
                  <c:v>32163</c:v>
                </c:pt>
                <c:pt idx="591">
                  <c:v>4409</c:v>
                </c:pt>
                <c:pt idx="592">
                  <c:v>10623</c:v>
                </c:pt>
                <c:pt idx="593">
                  <c:v>5038</c:v>
                </c:pt>
                <c:pt idx="594">
                  <c:v>11591</c:v>
                </c:pt>
                <c:pt idx="595">
                  <c:v>49666</c:v>
                </c:pt>
                <c:pt idx="596">
                  <c:v>41482</c:v>
                </c:pt>
                <c:pt idx="597">
                  <c:v>6396</c:v>
                </c:pt>
                <c:pt idx="598">
                  <c:v>6945</c:v>
                </c:pt>
                <c:pt idx="599">
                  <c:v>4987</c:v>
                </c:pt>
                <c:pt idx="600">
                  <c:v>64202</c:v>
                </c:pt>
                <c:pt idx="601">
                  <c:v>7790</c:v>
                </c:pt>
                <c:pt idx="602">
                  <c:v>15185</c:v>
                </c:pt>
                <c:pt idx="603">
                  <c:v>7031</c:v>
                </c:pt>
                <c:pt idx="604">
                  <c:v>15564</c:v>
                </c:pt>
                <c:pt idx="605">
                  <c:v>70709</c:v>
                </c:pt>
                <c:pt idx="606">
                  <c:v>131747</c:v>
                </c:pt>
                <c:pt idx="607">
                  <c:v>5322</c:v>
                </c:pt>
                <c:pt idx="608">
                  <c:v>3265</c:v>
                </c:pt>
                <c:pt idx="609">
                  <c:v>6122</c:v>
                </c:pt>
                <c:pt idx="610">
                  <c:v>6627</c:v>
                </c:pt>
                <c:pt idx="611">
                  <c:v>7860</c:v>
                </c:pt>
                <c:pt idx="612">
                  <c:v>22896</c:v>
                </c:pt>
                <c:pt idx="613">
                  <c:v>8698</c:v>
                </c:pt>
                <c:pt idx="614">
                  <c:v>3056</c:v>
                </c:pt>
                <c:pt idx="615">
                  <c:v>33199</c:v>
                </c:pt>
                <c:pt idx="616">
                  <c:v>65408</c:v>
                </c:pt>
                <c:pt idx="617">
                  <c:v>21249</c:v>
                </c:pt>
                <c:pt idx="618">
                  <c:v>20997</c:v>
                </c:pt>
                <c:pt idx="619">
                  <c:v>15720</c:v>
                </c:pt>
                <c:pt idx="620">
                  <c:v>8505</c:v>
                </c:pt>
                <c:pt idx="621">
                  <c:v>15726</c:v>
                </c:pt>
                <c:pt idx="622">
                  <c:v>5627</c:v>
                </c:pt>
                <c:pt idx="623">
                  <c:v>8941</c:v>
                </c:pt>
                <c:pt idx="624">
                  <c:v>2872</c:v>
                </c:pt>
                <c:pt idx="625">
                  <c:v>15693</c:v>
                </c:pt>
                <c:pt idx="626">
                  <c:v>27433</c:v>
                </c:pt>
                <c:pt idx="627">
                  <c:v>9088</c:v>
                </c:pt>
                <c:pt idx="628">
                  <c:v>15432</c:v>
                </c:pt>
                <c:pt idx="629">
                  <c:v>18486</c:v>
                </c:pt>
                <c:pt idx="630">
                  <c:v>6959</c:v>
                </c:pt>
                <c:pt idx="631">
                  <c:v>46337</c:v>
                </c:pt>
                <c:pt idx="632">
                  <c:v>76845</c:v>
                </c:pt>
                <c:pt idx="633">
                  <c:v>38906</c:v>
                </c:pt>
                <c:pt idx="634">
                  <c:v>25623</c:v>
                </c:pt>
                <c:pt idx="635">
                  <c:v>7405</c:v>
                </c:pt>
                <c:pt idx="636">
                  <c:v>17273</c:v>
                </c:pt>
                <c:pt idx="637">
                  <c:v>10255</c:v>
                </c:pt>
                <c:pt idx="638">
                  <c:v>27124</c:v>
                </c:pt>
                <c:pt idx="639">
                  <c:v>10427</c:v>
                </c:pt>
                <c:pt idx="640">
                  <c:v>7836</c:v>
                </c:pt>
                <c:pt idx="641">
                  <c:v>8503</c:v>
                </c:pt>
                <c:pt idx="642">
                  <c:v>5401</c:v>
                </c:pt>
                <c:pt idx="643">
                  <c:v>27880</c:v>
                </c:pt>
                <c:pt idx="644">
                  <c:v>4284</c:v>
                </c:pt>
                <c:pt idx="645">
                  <c:v>13184</c:v>
                </c:pt>
                <c:pt idx="646">
                  <c:v>9761</c:v>
                </c:pt>
                <c:pt idx="647">
                  <c:v>15288</c:v>
                </c:pt>
                <c:pt idx="648">
                  <c:v>42825</c:v>
                </c:pt>
                <c:pt idx="649">
                  <c:v>41064</c:v>
                </c:pt>
                <c:pt idx="650">
                  <c:v>14769</c:v>
                </c:pt>
                <c:pt idx="651">
                  <c:v>13646</c:v>
                </c:pt>
                <c:pt idx="652">
                  <c:v>51012</c:v>
                </c:pt>
                <c:pt idx="653">
                  <c:v>6265</c:v>
                </c:pt>
                <c:pt idx="654">
                  <c:v>4982</c:v>
                </c:pt>
                <c:pt idx="655">
                  <c:v>4099</c:v>
                </c:pt>
                <c:pt idx="656">
                  <c:v>12217</c:v>
                </c:pt>
                <c:pt idx="657">
                  <c:v>7408</c:v>
                </c:pt>
                <c:pt idx="658">
                  <c:v>6539</c:v>
                </c:pt>
                <c:pt idx="659">
                  <c:v>17645</c:v>
                </c:pt>
                <c:pt idx="660">
                  <c:v>24987</c:v>
                </c:pt>
                <c:pt idx="661">
                  <c:v>25676</c:v>
                </c:pt>
                <c:pt idx="662">
                  <c:v>29612</c:v>
                </c:pt>
                <c:pt idx="663">
                  <c:v>22087</c:v>
                </c:pt>
                <c:pt idx="664">
                  <c:v>6979</c:v>
                </c:pt>
                <c:pt idx="665">
                  <c:v>3064</c:v>
                </c:pt>
                <c:pt idx="666">
                  <c:v>6145</c:v>
                </c:pt>
                <c:pt idx="667">
                  <c:v>26983</c:v>
                </c:pt>
                <c:pt idx="668">
                  <c:v>32008</c:v>
                </c:pt>
                <c:pt idx="669">
                  <c:v>31892</c:v>
                </c:pt>
                <c:pt idx="670">
                  <c:v>4705</c:v>
                </c:pt>
                <c:pt idx="671">
                  <c:v>3510</c:v>
                </c:pt>
                <c:pt idx="672">
                  <c:v>51892</c:v>
                </c:pt>
                <c:pt idx="673">
                  <c:v>17189</c:v>
                </c:pt>
                <c:pt idx="674">
                  <c:v>16123</c:v>
                </c:pt>
                <c:pt idx="675">
                  <c:v>4000</c:v>
                </c:pt>
                <c:pt idx="676">
                  <c:v>3500</c:v>
                </c:pt>
                <c:pt idx="677">
                  <c:v>4877</c:v>
                </c:pt>
                <c:pt idx="678">
                  <c:v>7311</c:v>
                </c:pt>
                <c:pt idx="679">
                  <c:v>8987</c:v>
                </c:pt>
                <c:pt idx="680">
                  <c:v>13838</c:v>
                </c:pt>
                <c:pt idx="681">
                  <c:v>48069</c:v>
                </c:pt>
                <c:pt idx="682">
                  <c:v>8834</c:v>
                </c:pt>
                <c:pt idx="683">
                  <c:v>6967</c:v>
                </c:pt>
                <c:pt idx="684">
                  <c:v>12371</c:v>
                </c:pt>
                <c:pt idx="685">
                  <c:v>8247</c:v>
                </c:pt>
                <c:pt idx="686">
                  <c:v>15172</c:v>
                </c:pt>
                <c:pt idx="687">
                  <c:v>2641</c:v>
                </c:pt>
                <c:pt idx="688">
                  <c:v>6053</c:v>
                </c:pt>
                <c:pt idx="689">
                  <c:v>7872</c:v>
                </c:pt>
                <c:pt idx="690">
                  <c:v>6155</c:v>
                </c:pt>
                <c:pt idx="691">
                  <c:v>6607</c:v>
                </c:pt>
                <c:pt idx="692">
                  <c:v>6478</c:v>
                </c:pt>
                <c:pt idx="693">
                  <c:v>10656</c:v>
                </c:pt>
                <c:pt idx="694">
                  <c:v>9445</c:v>
                </c:pt>
                <c:pt idx="695">
                  <c:v>11089</c:v>
                </c:pt>
                <c:pt idx="696">
                  <c:v>13731</c:v>
                </c:pt>
                <c:pt idx="697">
                  <c:v>13706</c:v>
                </c:pt>
                <c:pt idx="698">
                  <c:v>13632</c:v>
                </c:pt>
                <c:pt idx="699">
                  <c:v>8705</c:v>
                </c:pt>
                <c:pt idx="700">
                  <c:v>22177</c:v>
                </c:pt>
                <c:pt idx="701">
                  <c:v>8451</c:v>
                </c:pt>
                <c:pt idx="702">
                  <c:v>9698</c:v>
                </c:pt>
                <c:pt idx="703">
                  <c:v>21863</c:v>
                </c:pt>
                <c:pt idx="704">
                  <c:v>4374</c:v>
                </c:pt>
                <c:pt idx="705">
                  <c:v>8556</c:v>
                </c:pt>
                <c:pt idx="706">
                  <c:v>15699</c:v>
                </c:pt>
                <c:pt idx="707">
                  <c:v>4612</c:v>
                </c:pt>
                <c:pt idx="708">
                  <c:v>5814</c:v>
                </c:pt>
                <c:pt idx="709">
                  <c:v>11161</c:v>
                </c:pt>
                <c:pt idx="710">
                  <c:v>29007</c:v>
                </c:pt>
                <c:pt idx="711">
                  <c:v>22601</c:v>
                </c:pt>
                <c:pt idx="712">
                  <c:v>15019</c:v>
                </c:pt>
                <c:pt idx="713">
                  <c:v>43754</c:v>
                </c:pt>
                <c:pt idx="714">
                  <c:v>18019</c:v>
                </c:pt>
                <c:pt idx="715">
                  <c:v>15249</c:v>
                </c:pt>
                <c:pt idx="716">
                  <c:v>22248</c:v>
                </c:pt>
                <c:pt idx="717">
                  <c:v>7147</c:v>
                </c:pt>
                <c:pt idx="718">
                  <c:v>8017</c:v>
                </c:pt>
                <c:pt idx="719">
                  <c:v>8553</c:v>
                </c:pt>
                <c:pt idx="720">
                  <c:v>17877</c:v>
                </c:pt>
                <c:pt idx="721">
                  <c:v>4402</c:v>
                </c:pt>
                <c:pt idx="722">
                  <c:v>6188</c:v>
                </c:pt>
                <c:pt idx="723">
                  <c:v>5820</c:v>
                </c:pt>
                <c:pt idx="724">
                  <c:v>4097</c:v>
                </c:pt>
                <c:pt idx="725">
                  <c:v>5859</c:v>
                </c:pt>
                <c:pt idx="726">
                  <c:v>17755</c:v>
                </c:pt>
                <c:pt idx="727">
                  <c:v>6975</c:v>
                </c:pt>
                <c:pt idx="728">
                  <c:v>4416</c:v>
                </c:pt>
                <c:pt idx="729">
                  <c:v>13734</c:v>
                </c:pt>
                <c:pt idx="730">
                  <c:v>9322</c:v>
                </c:pt>
                <c:pt idx="731">
                  <c:v>7283</c:v>
                </c:pt>
                <c:pt idx="732">
                  <c:v>14426</c:v>
                </c:pt>
                <c:pt idx="733">
                  <c:v>5905</c:v>
                </c:pt>
                <c:pt idx="734">
                  <c:v>6820</c:v>
                </c:pt>
                <c:pt idx="735">
                  <c:v>9319</c:v>
                </c:pt>
                <c:pt idx="736">
                  <c:v>7747</c:v>
                </c:pt>
                <c:pt idx="737">
                  <c:v>3397</c:v>
                </c:pt>
                <c:pt idx="738">
                  <c:v>3058</c:v>
                </c:pt>
                <c:pt idx="739">
                  <c:v>7220</c:v>
                </c:pt>
                <c:pt idx="740">
                  <c:v>8874</c:v>
                </c:pt>
                <c:pt idx="741">
                  <c:v>7748</c:v>
                </c:pt>
                <c:pt idx="742">
                  <c:v>6311</c:v>
                </c:pt>
                <c:pt idx="743">
                  <c:v>5018</c:v>
                </c:pt>
                <c:pt idx="744">
                  <c:v>5462</c:v>
                </c:pt>
                <c:pt idx="745">
                  <c:v>99705</c:v>
                </c:pt>
                <c:pt idx="746">
                  <c:v>5454</c:v>
                </c:pt>
                <c:pt idx="747">
                  <c:v>3883</c:v>
                </c:pt>
                <c:pt idx="748">
                  <c:v>7057</c:v>
                </c:pt>
                <c:pt idx="749">
                  <c:v>4221</c:v>
                </c:pt>
                <c:pt idx="750">
                  <c:v>5895</c:v>
                </c:pt>
                <c:pt idx="751">
                  <c:v>11155</c:v>
                </c:pt>
                <c:pt idx="752">
                  <c:v>3955</c:v>
                </c:pt>
                <c:pt idx="753">
                  <c:v>9512</c:v>
                </c:pt>
                <c:pt idx="754">
                  <c:v>10436</c:v>
                </c:pt>
                <c:pt idx="755">
                  <c:v>9891</c:v>
                </c:pt>
                <c:pt idx="756">
                  <c:v>5747</c:v>
                </c:pt>
                <c:pt idx="757">
                  <c:v>6268</c:v>
                </c:pt>
                <c:pt idx="758">
                  <c:v>6394</c:v>
                </c:pt>
                <c:pt idx="759">
                  <c:v>5035</c:v>
                </c:pt>
                <c:pt idx="760">
                  <c:v>6905</c:v>
                </c:pt>
                <c:pt idx="761">
                  <c:v>17471</c:v>
                </c:pt>
                <c:pt idx="762">
                  <c:v>17792</c:v>
                </c:pt>
                <c:pt idx="763">
                  <c:v>10428</c:v>
                </c:pt>
                <c:pt idx="764">
                  <c:v>12492</c:v>
                </c:pt>
                <c:pt idx="765">
                  <c:v>26919</c:v>
                </c:pt>
                <c:pt idx="766">
                  <c:v>46259</c:v>
                </c:pt>
                <c:pt idx="767">
                  <c:v>26165</c:v>
                </c:pt>
                <c:pt idx="768">
                  <c:v>6015</c:v>
                </c:pt>
                <c:pt idx="769">
                  <c:v>8626</c:v>
                </c:pt>
                <c:pt idx="770">
                  <c:v>6743</c:v>
                </c:pt>
                <c:pt idx="771">
                  <c:v>24267</c:v>
                </c:pt>
                <c:pt idx="772">
                  <c:v>10791</c:v>
                </c:pt>
                <c:pt idx="773">
                  <c:v>7707</c:v>
                </c:pt>
                <c:pt idx="774">
                  <c:v>7596</c:v>
                </c:pt>
                <c:pt idx="775">
                  <c:v>9957</c:v>
                </c:pt>
                <c:pt idx="776">
                  <c:v>8727</c:v>
                </c:pt>
                <c:pt idx="777">
                  <c:v>8376</c:v>
                </c:pt>
                <c:pt idx="778">
                  <c:v>7727</c:v>
                </c:pt>
                <c:pt idx="779">
                  <c:v>30619</c:v>
                </c:pt>
                <c:pt idx="780">
                  <c:v>17376</c:v>
                </c:pt>
                <c:pt idx="781">
                  <c:v>40272</c:v>
                </c:pt>
                <c:pt idx="782">
                  <c:v>28803</c:v>
                </c:pt>
                <c:pt idx="783">
                  <c:v>30724</c:v>
                </c:pt>
                <c:pt idx="784">
                  <c:v>29558</c:v>
                </c:pt>
                <c:pt idx="785">
                  <c:v>34891</c:v>
                </c:pt>
                <c:pt idx="786">
                  <c:v>4547</c:v>
                </c:pt>
                <c:pt idx="787">
                  <c:v>9318</c:v>
                </c:pt>
                <c:pt idx="788">
                  <c:v>21562</c:v>
                </c:pt>
                <c:pt idx="789">
                  <c:v>7513</c:v>
                </c:pt>
                <c:pt idx="790">
                  <c:v>11770</c:v>
                </c:pt>
                <c:pt idx="791">
                  <c:v>24493</c:v>
                </c:pt>
                <c:pt idx="792">
                  <c:v>4997</c:v>
                </c:pt>
                <c:pt idx="793">
                  <c:v>6731</c:v>
                </c:pt>
                <c:pt idx="794">
                  <c:v>8170</c:v>
                </c:pt>
                <c:pt idx="795">
                  <c:v>6627</c:v>
                </c:pt>
                <c:pt idx="796">
                  <c:v>26606</c:v>
                </c:pt>
                <c:pt idx="797">
                  <c:v>9719</c:v>
                </c:pt>
                <c:pt idx="798">
                  <c:v>7421</c:v>
                </c:pt>
                <c:pt idx="799">
                  <c:v>4709</c:v>
                </c:pt>
                <c:pt idx="800">
                  <c:v>5764</c:v>
                </c:pt>
                <c:pt idx="801">
                  <c:v>17410</c:v>
                </c:pt>
                <c:pt idx="802">
                  <c:v>8841</c:v>
                </c:pt>
                <c:pt idx="803">
                  <c:v>17525</c:v>
                </c:pt>
                <c:pt idx="804">
                  <c:v>17563</c:v>
                </c:pt>
                <c:pt idx="805">
                  <c:v>48101</c:v>
                </c:pt>
                <c:pt idx="806">
                  <c:v>14831</c:v>
                </c:pt>
                <c:pt idx="807">
                  <c:v>13930</c:v>
                </c:pt>
                <c:pt idx="808">
                  <c:v>27004</c:v>
                </c:pt>
                <c:pt idx="809">
                  <c:v>14746</c:v>
                </c:pt>
                <c:pt idx="810">
                  <c:v>16992</c:v>
                </c:pt>
                <c:pt idx="811">
                  <c:v>18527</c:v>
                </c:pt>
                <c:pt idx="812">
                  <c:v>51108</c:v>
                </c:pt>
                <c:pt idx="813">
                  <c:v>44179</c:v>
                </c:pt>
                <c:pt idx="814">
                  <c:v>12674</c:v>
                </c:pt>
                <c:pt idx="815">
                  <c:v>20221</c:v>
                </c:pt>
                <c:pt idx="816">
                  <c:v>48249</c:v>
                </c:pt>
                <c:pt idx="817">
                  <c:v>12400</c:v>
                </c:pt>
                <c:pt idx="818">
                  <c:v>12197</c:v>
                </c:pt>
                <c:pt idx="819">
                  <c:v>32961</c:v>
                </c:pt>
                <c:pt idx="820">
                  <c:v>27401</c:v>
                </c:pt>
                <c:pt idx="821">
                  <c:v>22749</c:v>
                </c:pt>
                <c:pt idx="822">
                  <c:v>53379</c:v>
                </c:pt>
                <c:pt idx="823">
                  <c:v>214646</c:v>
                </c:pt>
                <c:pt idx="824">
                  <c:v>18320</c:v>
                </c:pt>
                <c:pt idx="825">
                  <c:v>15838</c:v>
                </c:pt>
                <c:pt idx="826">
                  <c:v>81243</c:v>
                </c:pt>
                <c:pt idx="827">
                  <c:v>104139</c:v>
                </c:pt>
                <c:pt idx="828">
                  <c:v>12862</c:v>
                </c:pt>
                <c:pt idx="829">
                  <c:v>22433</c:v>
                </c:pt>
                <c:pt idx="830">
                  <c:v>1127</c:v>
                </c:pt>
                <c:pt idx="831">
                  <c:v>17687</c:v>
                </c:pt>
                <c:pt idx="832">
                  <c:v>6275</c:v>
                </c:pt>
                <c:pt idx="833">
                  <c:v>5274</c:v>
                </c:pt>
                <c:pt idx="834">
                  <c:v>12981</c:v>
                </c:pt>
                <c:pt idx="835">
                  <c:v>167035</c:v>
                </c:pt>
                <c:pt idx="836">
                  <c:v>6545</c:v>
                </c:pt>
                <c:pt idx="837">
                  <c:v>8141</c:v>
                </c:pt>
                <c:pt idx="838">
                  <c:v>6911</c:v>
                </c:pt>
                <c:pt idx="839">
                  <c:v>169186</c:v>
                </c:pt>
                <c:pt idx="840">
                  <c:v>15880</c:v>
                </c:pt>
                <c:pt idx="841">
                  <c:v>11691</c:v>
                </c:pt>
                <c:pt idx="842">
                  <c:v>7623</c:v>
                </c:pt>
                <c:pt idx="843">
                  <c:v>12183</c:v>
                </c:pt>
                <c:pt idx="844">
                  <c:v>34839</c:v>
                </c:pt>
                <c:pt idx="845">
                  <c:v>14910</c:v>
                </c:pt>
                <c:pt idx="846">
                  <c:v>11017</c:v>
                </c:pt>
                <c:pt idx="847">
                  <c:v>9957</c:v>
                </c:pt>
                <c:pt idx="848">
                  <c:v>15568</c:v>
                </c:pt>
                <c:pt idx="849">
                  <c:v>48343</c:v>
                </c:pt>
                <c:pt idx="850">
                  <c:v>17273</c:v>
                </c:pt>
                <c:pt idx="851">
                  <c:v>24395</c:v>
                </c:pt>
                <c:pt idx="852">
                  <c:v>10880</c:v>
                </c:pt>
                <c:pt idx="853">
                  <c:v>18786</c:v>
                </c:pt>
                <c:pt idx="854">
                  <c:v>163538</c:v>
                </c:pt>
                <c:pt idx="855">
                  <c:v>27722</c:v>
                </c:pt>
                <c:pt idx="856">
                  <c:v>49781</c:v>
                </c:pt>
                <c:pt idx="857">
                  <c:v>31421</c:v>
                </c:pt>
                <c:pt idx="858">
                  <c:v>27725</c:v>
                </c:pt>
                <c:pt idx="859">
                  <c:v>14063</c:v>
                </c:pt>
                <c:pt idx="860">
                  <c:v>15314</c:v>
                </c:pt>
                <c:pt idx="861">
                  <c:v>18893</c:v>
                </c:pt>
                <c:pt idx="862">
                  <c:v>47853</c:v>
                </c:pt>
                <c:pt idx="863">
                  <c:v>17373</c:v>
                </c:pt>
                <c:pt idx="864">
                  <c:v>34637</c:v>
                </c:pt>
                <c:pt idx="865">
                  <c:v>20045</c:v>
                </c:pt>
                <c:pt idx="866">
                  <c:v>32845</c:v>
                </c:pt>
                <c:pt idx="867">
                  <c:v>32164</c:v>
                </c:pt>
                <c:pt idx="868">
                  <c:v>15102</c:v>
                </c:pt>
                <c:pt idx="869">
                  <c:v>6572</c:v>
                </c:pt>
                <c:pt idx="870">
                  <c:v>30727</c:v>
                </c:pt>
                <c:pt idx="871">
                  <c:v>30051</c:v>
                </c:pt>
                <c:pt idx="872">
                  <c:v>28704</c:v>
                </c:pt>
                <c:pt idx="873">
                  <c:v>45475</c:v>
                </c:pt>
                <c:pt idx="874">
                  <c:v>16217</c:v>
                </c:pt>
                <c:pt idx="875">
                  <c:v>31237</c:v>
                </c:pt>
                <c:pt idx="876">
                  <c:v>26107</c:v>
                </c:pt>
                <c:pt idx="877">
                  <c:v>19579</c:v>
                </c:pt>
                <c:pt idx="878">
                  <c:v>23223</c:v>
                </c:pt>
                <c:pt idx="879">
                  <c:v>33619</c:v>
                </c:pt>
                <c:pt idx="880">
                  <c:v>26172</c:v>
                </c:pt>
                <c:pt idx="881">
                  <c:v>35238</c:v>
                </c:pt>
                <c:pt idx="882">
                  <c:v>30164</c:v>
                </c:pt>
                <c:pt idx="883">
                  <c:v>19098</c:v>
                </c:pt>
                <c:pt idx="884">
                  <c:v>31232</c:v>
                </c:pt>
                <c:pt idx="885">
                  <c:v>48112</c:v>
                </c:pt>
                <c:pt idx="886">
                  <c:v>221380</c:v>
                </c:pt>
                <c:pt idx="887">
                  <c:v>22625</c:v>
                </c:pt>
                <c:pt idx="888">
                  <c:v>37730</c:v>
                </c:pt>
                <c:pt idx="889">
                  <c:v>50137</c:v>
                </c:pt>
                <c:pt idx="890">
                  <c:v>20489</c:v>
                </c:pt>
                <c:pt idx="891">
                  <c:v>16790</c:v>
                </c:pt>
                <c:pt idx="892">
                  <c:v>29846</c:v>
                </c:pt>
                <c:pt idx="893">
                  <c:v>30461</c:v>
                </c:pt>
                <c:pt idx="894">
                  <c:v>24742</c:v>
                </c:pt>
                <c:pt idx="895">
                  <c:v>36544</c:v>
                </c:pt>
                <c:pt idx="896">
                  <c:v>203106</c:v>
                </c:pt>
                <c:pt idx="897">
                  <c:v>19010</c:v>
                </c:pt>
                <c:pt idx="898">
                  <c:v>17752</c:v>
                </c:pt>
                <c:pt idx="899">
                  <c:v>11188</c:v>
                </c:pt>
                <c:pt idx="900">
                  <c:v>21708</c:v>
                </c:pt>
                <c:pt idx="901">
                  <c:v>29533</c:v>
                </c:pt>
                <c:pt idx="902">
                  <c:v>15438</c:v>
                </c:pt>
                <c:pt idx="903">
                  <c:v>41884</c:v>
                </c:pt>
                <c:pt idx="904">
                  <c:v>57452</c:v>
                </c:pt>
                <c:pt idx="905">
                  <c:v>11776</c:v>
                </c:pt>
                <c:pt idx="906">
                  <c:v>28117</c:v>
                </c:pt>
                <c:pt idx="907">
                  <c:v>32479</c:v>
                </c:pt>
                <c:pt idx="908">
                  <c:v>26511</c:v>
                </c:pt>
                <c:pt idx="909">
                  <c:v>36742</c:v>
                </c:pt>
                <c:pt idx="910">
                  <c:v>34029</c:v>
                </c:pt>
                <c:pt idx="911">
                  <c:v>59721</c:v>
                </c:pt>
                <c:pt idx="912">
                  <c:v>60190</c:v>
                </c:pt>
                <c:pt idx="913">
                  <c:v>85491</c:v>
                </c:pt>
                <c:pt idx="914">
                  <c:v>19373</c:v>
                </c:pt>
                <c:pt idx="915">
                  <c:v>31904</c:v>
                </c:pt>
                <c:pt idx="916">
                  <c:v>18616</c:v>
                </c:pt>
                <c:pt idx="917">
                  <c:v>100435</c:v>
                </c:pt>
                <c:pt idx="918">
                  <c:v>32764</c:v>
                </c:pt>
                <c:pt idx="919">
                  <c:v>9800</c:v>
                </c:pt>
                <c:pt idx="920">
                  <c:v>11086</c:v>
                </c:pt>
                <c:pt idx="921">
                  <c:v>16861</c:v>
                </c:pt>
                <c:pt idx="922">
                  <c:v>10629</c:v>
                </c:pt>
                <c:pt idx="923">
                  <c:v>42941</c:v>
                </c:pt>
                <c:pt idx="924">
                  <c:v>42902</c:v>
                </c:pt>
                <c:pt idx="925">
                  <c:v>19666</c:v>
                </c:pt>
                <c:pt idx="926">
                  <c:v>13672</c:v>
                </c:pt>
                <c:pt idx="927">
                  <c:v>12437</c:v>
                </c:pt>
                <c:pt idx="928">
                  <c:v>10963</c:v>
                </c:pt>
                <c:pt idx="929">
                  <c:v>17185</c:v>
                </c:pt>
                <c:pt idx="930">
                  <c:v>18559</c:v>
                </c:pt>
                <c:pt idx="931">
                  <c:v>14729</c:v>
                </c:pt>
                <c:pt idx="932">
                  <c:v>26961</c:v>
                </c:pt>
                <c:pt idx="933">
                  <c:v>9529</c:v>
                </c:pt>
                <c:pt idx="934">
                  <c:v>10231</c:v>
                </c:pt>
                <c:pt idx="935">
                  <c:v>11773</c:v>
                </c:pt>
                <c:pt idx="936">
                  <c:v>50990</c:v>
                </c:pt>
                <c:pt idx="937">
                  <c:v>25503</c:v>
                </c:pt>
                <c:pt idx="938">
                  <c:v>9795</c:v>
                </c:pt>
                <c:pt idx="939">
                  <c:v>16306</c:v>
                </c:pt>
                <c:pt idx="940">
                  <c:v>32899</c:v>
                </c:pt>
                <c:pt idx="941">
                  <c:v>10137</c:v>
                </c:pt>
                <c:pt idx="942">
                  <c:v>21260</c:v>
                </c:pt>
                <c:pt idx="943">
                  <c:v>13977</c:v>
                </c:pt>
                <c:pt idx="944">
                  <c:v>18236</c:v>
                </c:pt>
                <c:pt idx="945">
                  <c:v>14101</c:v>
                </c:pt>
                <c:pt idx="946">
                  <c:v>16147</c:v>
                </c:pt>
                <c:pt idx="947">
                  <c:v>13396</c:v>
                </c:pt>
                <c:pt idx="948">
                  <c:v>16059</c:v>
                </c:pt>
                <c:pt idx="949">
                  <c:v>175739</c:v>
                </c:pt>
                <c:pt idx="950">
                  <c:v>28028</c:v>
                </c:pt>
                <c:pt idx="951">
                  <c:v>25885</c:v>
                </c:pt>
                <c:pt idx="952">
                  <c:v>32378</c:v>
                </c:pt>
                <c:pt idx="953">
                  <c:v>16904</c:v>
                </c:pt>
                <c:pt idx="954">
                  <c:v>33074</c:v>
                </c:pt>
                <c:pt idx="955">
                  <c:v>32002</c:v>
                </c:pt>
                <c:pt idx="956">
                  <c:v>46252</c:v>
                </c:pt>
                <c:pt idx="957">
                  <c:v>26283</c:v>
                </c:pt>
                <c:pt idx="958">
                  <c:v>16300</c:v>
                </c:pt>
                <c:pt idx="959">
                  <c:v>24771</c:v>
                </c:pt>
                <c:pt idx="960">
                  <c:v>15599</c:v>
                </c:pt>
                <c:pt idx="961">
                  <c:v>13956</c:v>
                </c:pt>
                <c:pt idx="962">
                  <c:v>11483</c:v>
                </c:pt>
                <c:pt idx="963">
                  <c:v>17458</c:v>
                </c:pt>
                <c:pt idx="964">
                  <c:v>18838</c:v>
                </c:pt>
                <c:pt idx="965">
                  <c:v>18102</c:v>
                </c:pt>
                <c:pt idx="966">
                  <c:v>22773</c:v>
                </c:pt>
                <c:pt idx="967">
                  <c:v>17931</c:v>
                </c:pt>
                <c:pt idx="968">
                  <c:v>11106</c:v>
                </c:pt>
                <c:pt idx="969">
                  <c:v>13241</c:v>
                </c:pt>
                <c:pt idx="970">
                  <c:v>16368</c:v>
                </c:pt>
                <c:pt idx="971">
                  <c:v>12010</c:v>
                </c:pt>
                <c:pt idx="972">
                  <c:v>25708</c:v>
                </c:pt>
                <c:pt idx="973">
                  <c:v>26363</c:v>
                </c:pt>
                <c:pt idx="974">
                  <c:v>14321</c:v>
                </c:pt>
                <c:pt idx="975">
                  <c:v>24315</c:v>
                </c:pt>
                <c:pt idx="976">
                  <c:v>35463</c:v>
                </c:pt>
                <c:pt idx="977">
                  <c:v>51601</c:v>
                </c:pt>
                <c:pt idx="978">
                  <c:v>26244</c:v>
                </c:pt>
                <c:pt idx="979">
                  <c:v>16395</c:v>
                </c:pt>
                <c:pt idx="980">
                  <c:v>43134</c:v>
                </c:pt>
                <c:pt idx="981">
                  <c:v>34425</c:v>
                </c:pt>
                <c:pt idx="982">
                  <c:v>32806</c:v>
                </c:pt>
                <c:pt idx="983">
                  <c:v>62846</c:v>
                </c:pt>
                <c:pt idx="984">
                  <c:v>55682</c:v>
                </c:pt>
                <c:pt idx="985">
                  <c:v>65654</c:v>
                </c:pt>
                <c:pt idx="986">
                  <c:v>100068</c:v>
                </c:pt>
                <c:pt idx="987">
                  <c:v>78496</c:v>
                </c:pt>
                <c:pt idx="988">
                  <c:v>32743</c:v>
                </c:pt>
                <c:pt idx="989">
                  <c:v>54833</c:v>
                </c:pt>
                <c:pt idx="990">
                  <c:v>20130</c:v>
                </c:pt>
                <c:pt idx="991">
                  <c:v>29880</c:v>
                </c:pt>
                <c:pt idx="992">
                  <c:v>39631</c:v>
                </c:pt>
                <c:pt idx="993">
                  <c:v>22873</c:v>
                </c:pt>
                <c:pt idx="994">
                  <c:v>17019</c:v>
                </c:pt>
                <c:pt idx="995">
                  <c:v>15482</c:v>
                </c:pt>
                <c:pt idx="996">
                  <c:v>17429</c:v>
                </c:pt>
                <c:pt idx="997">
                  <c:v>14279</c:v>
                </c:pt>
                <c:pt idx="998">
                  <c:v>20676</c:v>
                </c:pt>
                <c:pt idx="999">
                  <c:v>25256</c:v>
                </c:pt>
                <c:pt idx="1000">
                  <c:v>18977</c:v>
                </c:pt>
                <c:pt idx="1001">
                  <c:v>25794</c:v>
                </c:pt>
                <c:pt idx="1002">
                  <c:v>41620</c:v>
                </c:pt>
                <c:pt idx="1003">
                  <c:v>26435</c:v>
                </c:pt>
                <c:pt idx="1004">
                  <c:v>11774</c:v>
                </c:pt>
                <c:pt idx="1005">
                  <c:v>11859</c:v>
                </c:pt>
                <c:pt idx="1006">
                  <c:v>28580</c:v>
                </c:pt>
                <c:pt idx="1007">
                  <c:v>16778</c:v>
                </c:pt>
                <c:pt idx="1008">
                  <c:v>20688</c:v>
                </c:pt>
                <c:pt idx="1009">
                  <c:v>21011</c:v>
                </c:pt>
                <c:pt idx="1010">
                  <c:v>25535</c:v>
                </c:pt>
                <c:pt idx="1011">
                  <c:v>67592</c:v>
                </c:pt>
                <c:pt idx="1012">
                  <c:v>72473</c:v>
                </c:pt>
                <c:pt idx="1013">
                  <c:v>24990</c:v>
                </c:pt>
                <c:pt idx="1014">
                  <c:v>28862</c:v>
                </c:pt>
                <c:pt idx="1015">
                  <c:v>15605</c:v>
                </c:pt>
                <c:pt idx="1016">
                  <c:v>20898</c:v>
                </c:pt>
                <c:pt idx="1017">
                  <c:v>24935</c:v>
                </c:pt>
                <c:pt idx="1018">
                  <c:v>30322</c:v>
                </c:pt>
                <c:pt idx="1019">
                  <c:v>8566</c:v>
                </c:pt>
                <c:pt idx="1020">
                  <c:v>28595</c:v>
                </c:pt>
                <c:pt idx="1021">
                  <c:v>24561</c:v>
                </c:pt>
                <c:pt idx="1022">
                  <c:v>11461</c:v>
                </c:pt>
                <c:pt idx="1023">
                  <c:v>44867</c:v>
                </c:pt>
                <c:pt idx="1024">
                  <c:v>12096</c:v>
                </c:pt>
                <c:pt idx="1025">
                  <c:v>20224</c:v>
                </c:pt>
                <c:pt idx="1026">
                  <c:v>15901</c:v>
                </c:pt>
                <c:pt idx="1027">
                  <c:v>13432</c:v>
                </c:pt>
                <c:pt idx="1028">
                  <c:v>20617</c:v>
                </c:pt>
                <c:pt idx="1029">
                  <c:v>18702</c:v>
                </c:pt>
                <c:pt idx="1030">
                  <c:v>26663</c:v>
                </c:pt>
                <c:pt idx="1031">
                  <c:v>9354</c:v>
                </c:pt>
                <c:pt idx="1032">
                  <c:v>6705</c:v>
                </c:pt>
                <c:pt idx="1033">
                  <c:v>7389</c:v>
                </c:pt>
                <c:pt idx="1034">
                  <c:v>10661</c:v>
                </c:pt>
                <c:pt idx="1035">
                  <c:v>13784</c:v>
                </c:pt>
                <c:pt idx="1036">
                  <c:v>8523</c:v>
                </c:pt>
                <c:pt idx="1037">
                  <c:v>12492</c:v>
                </c:pt>
                <c:pt idx="1038">
                  <c:v>98179</c:v>
                </c:pt>
                <c:pt idx="1039">
                  <c:v>30500</c:v>
                </c:pt>
                <c:pt idx="1040">
                  <c:v>11405</c:v>
                </c:pt>
                <c:pt idx="1041">
                  <c:v>22363</c:v>
                </c:pt>
                <c:pt idx="1042">
                  <c:v>10346</c:v>
                </c:pt>
                <c:pt idx="1043">
                  <c:v>19952</c:v>
                </c:pt>
                <c:pt idx="1044">
                  <c:v>16307</c:v>
                </c:pt>
                <c:pt idx="1045">
                  <c:v>27561</c:v>
                </c:pt>
                <c:pt idx="1046">
                  <c:v>61295</c:v>
                </c:pt>
                <c:pt idx="1047">
                  <c:v>22952</c:v>
                </c:pt>
                <c:pt idx="1048">
                  <c:v>51240</c:v>
                </c:pt>
                <c:pt idx="1049">
                  <c:v>29805</c:v>
                </c:pt>
                <c:pt idx="1050">
                  <c:v>47689</c:v>
                </c:pt>
                <c:pt idx="1051">
                  <c:v>51513</c:v>
                </c:pt>
                <c:pt idx="1052">
                  <c:v>21876</c:v>
                </c:pt>
                <c:pt idx="1053">
                  <c:v>26575</c:v>
                </c:pt>
                <c:pt idx="1054">
                  <c:v>29911</c:v>
                </c:pt>
                <c:pt idx="1055">
                  <c:v>37107</c:v>
                </c:pt>
                <c:pt idx="1056">
                  <c:v>40045</c:v>
                </c:pt>
                <c:pt idx="1057">
                  <c:v>34868</c:v>
                </c:pt>
                <c:pt idx="1058">
                  <c:v>23510</c:v>
                </c:pt>
                <c:pt idx="1059">
                  <c:v>47175</c:v>
                </c:pt>
                <c:pt idx="1060">
                  <c:v>107418</c:v>
                </c:pt>
                <c:pt idx="1061">
                  <c:v>109557</c:v>
                </c:pt>
                <c:pt idx="1062">
                  <c:v>15878</c:v>
                </c:pt>
                <c:pt idx="1063">
                  <c:v>14746</c:v>
                </c:pt>
                <c:pt idx="1064">
                  <c:v>21694</c:v>
                </c:pt>
                <c:pt idx="1065">
                  <c:v>31043</c:v>
                </c:pt>
                <c:pt idx="1066">
                  <c:v>19494</c:v>
                </c:pt>
                <c:pt idx="1067">
                  <c:v>10091</c:v>
                </c:pt>
                <c:pt idx="1068">
                  <c:v>5696</c:v>
                </c:pt>
                <c:pt idx="1069">
                  <c:v>54561</c:v>
                </c:pt>
                <c:pt idx="1070">
                  <c:v>44116</c:v>
                </c:pt>
                <c:pt idx="1071">
                  <c:v>80789</c:v>
                </c:pt>
                <c:pt idx="1072">
                  <c:v>29456</c:v>
                </c:pt>
                <c:pt idx="1073">
                  <c:v>27048</c:v>
                </c:pt>
                <c:pt idx="1074">
                  <c:v>34592</c:v>
                </c:pt>
                <c:pt idx="1075">
                  <c:v>9761</c:v>
                </c:pt>
                <c:pt idx="1076">
                  <c:v>17772</c:v>
                </c:pt>
                <c:pt idx="1077">
                  <c:v>9728</c:v>
                </c:pt>
                <c:pt idx="1078">
                  <c:v>42476</c:v>
                </c:pt>
                <c:pt idx="1079">
                  <c:v>133584</c:v>
                </c:pt>
                <c:pt idx="1080">
                  <c:v>13440</c:v>
                </c:pt>
                <c:pt idx="1081">
                  <c:v>24633</c:v>
                </c:pt>
                <c:pt idx="1082">
                  <c:v>25772</c:v>
                </c:pt>
                <c:pt idx="1083">
                  <c:v>19794</c:v>
                </c:pt>
                <c:pt idx="1084">
                  <c:v>10321</c:v>
                </c:pt>
                <c:pt idx="1085">
                  <c:v>148608</c:v>
                </c:pt>
                <c:pt idx="1086">
                  <c:v>11004</c:v>
                </c:pt>
                <c:pt idx="1087">
                  <c:v>81882</c:v>
                </c:pt>
                <c:pt idx="1088">
                  <c:v>6648</c:v>
                </c:pt>
                <c:pt idx="1089">
                  <c:v>23832</c:v>
                </c:pt>
                <c:pt idx="1090">
                  <c:v>32064</c:v>
                </c:pt>
                <c:pt idx="1091">
                  <c:v>22556</c:v>
                </c:pt>
                <c:pt idx="1092">
                  <c:v>8978</c:v>
                </c:pt>
                <c:pt idx="1093">
                  <c:v>18142</c:v>
                </c:pt>
                <c:pt idx="1094">
                  <c:v>93526</c:v>
                </c:pt>
                <c:pt idx="1095">
                  <c:v>118728</c:v>
                </c:pt>
                <c:pt idx="1096">
                  <c:v>22596</c:v>
                </c:pt>
                <c:pt idx="1097">
                  <c:v>143024</c:v>
                </c:pt>
                <c:pt idx="1098">
                  <c:v>26826</c:v>
                </c:pt>
                <c:pt idx="1099">
                  <c:v>74779</c:v>
                </c:pt>
                <c:pt idx="1100">
                  <c:v>32004</c:v>
                </c:pt>
                <c:pt idx="1101">
                  <c:v>50963</c:v>
                </c:pt>
                <c:pt idx="1102">
                  <c:v>13729</c:v>
                </c:pt>
                <c:pt idx="1103">
                  <c:v>16003</c:v>
                </c:pt>
                <c:pt idx="1104">
                  <c:v>32129</c:v>
                </c:pt>
                <c:pt idx="1105">
                  <c:v>14940</c:v>
                </c:pt>
                <c:pt idx="1106">
                  <c:v>29358</c:v>
                </c:pt>
                <c:pt idx="1107">
                  <c:v>27555</c:v>
                </c:pt>
                <c:pt idx="1108">
                  <c:v>30339</c:v>
                </c:pt>
                <c:pt idx="1109">
                  <c:v>31675</c:v>
                </c:pt>
                <c:pt idx="1110">
                  <c:v>85098</c:v>
                </c:pt>
                <c:pt idx="1111">
                  <c:v>22102</c:v>
                </c:pt>
                <c:pt idx="1112">
                  <c:v>183598</c:v>
                </c:pt>
                <c:pt idx="1113">
                  <c:v>27646</c:v>
                </c:pt>
                <c:pt idx="1114">
                  <c:v>166119</c:v>
                </c:pt>
                <c:pt idx="1115">
                  <c:v>231296</c:v>
                </c:pt>
                <c:pt idx="1116">
                  <c:v>86414</c:v>
                </c:pt>
                <c:pt idx="1117">
                  <c:v>46614</c:v>
                </c:pt>
                <c:pt idx="1118">
                  <c:v>32580</c:v>
                </c:pt>
                <c:pt idx="1119">
                  <c:v>9482</c:v>
                </c:pt>
                <c:pt idx="1120">
                  <c:v>18023</c:v>
                </c:pt>
                <c:pt idx="1121">
                  <c:v>423662</c:v>
                </c:pt>
                <c:pt idx="1122">
                  <c:v>29243</c:v>
                </c:pt>
                <c:pt idx="1123">
                  <c:v>21074</c:v>
                </c:pt>
                <c:pt idx="1124">
                  <c:v>10409</c:v>
                </c:pt>
                <c:pt idx="1125">
                  <c:v>71017</c:v>
                </c:pt>
                <c:pt idx="1126">
                  <c:v>9673</c:v>
                </c:pt>
                <c:pt idx="1127">
                  <c:v>7784</c:v>
                </c:pt>
                <c:pt idx="1128">
                  <c:v>12248</c:v>
                </c:pt>
                <c:pt idx="1129">
                  <c:v>14773</c:v>
                </c:pt>
                <c:pt idx="1130">
                  <c:v>33974</c:v>
                </c:pt>
                <c:pt idx="1131">
                  <c:v>14937</c:v>
                </c:pt>
                <c:pt idx="1132">
                  <c:v>14903</c:v>
                </c:pt>
                <c:pt idx="1133">
                  <c:v>17185</c:v>
                </c:pt>
                <c:pt idx="1134">
                  <c:v>14879</c:v>
                </c:pt>
                <c:pt idx="1135">
                  <c:v>39318</c:v>
                </c:pt>
                <c:pt idx="1136">
                  <c:v>30224</c:v>
                </c:pt>
                <c:pt idx="1137">
                  <c:v>6892</c:v>
                </c:pt>
                <c:pt idx="1138">
                  <c:v>7661</c:v>
                </c:pt>
                <c:pt idx="1139">
                  <c:v>7724</c:v>
                </c:pt>
                <c:pt idx="1140">
                  <c:v>14306</c:v>
                </c:pt>
                <c:pt idx="1141">
                  <c:v>25041</c:v>
                </c:pt>
                <c:pt idx="1142">
                  <c:v>74204</c:v>
                </c:pt>
                <c:pt idx="1143">
                  <c:v>21449</c:v>
                </c:pt>
                <c:pt idx="1144">
                  <c:v>16077</c:v>
                </c:pt>
                <c:pt idx="1145">
                  <c:v>12753</c:v>
                </c:pt>
                <c:pt idx="1146">
                  <c:v>15598</c:v>
                </c:pt>
                <c:pt idx="1147">
                  <c:v>341412</c:v>
                </c:pt>
                <c:pt idx="1148">
                  <c:v>11787</c:v>
                </c:pt>
                <c:pt idx="1149">
                  <c:v>14094</c:v>
                </c:pt>
                <c:pt idx="1150">
                  <c:v>10261</c:v>
                </c:pt>
                <c:pt idx="1151">
                  <c:v>135161</c:v>
                </c:pt>
                <c:pt idx="1152">
                  <c:v>111472</c:v>
                </c:pt>
                <c:pt idx="1153">
                  <c:v>27368</c:v>
                </c:pt>
                <c:pt idx="1154">
                  <c:v>12818</c:v>
                </c:pt>
                <c:pt idx="1155">
                  <c:v>18655</c:v>
                </c:pt>
                <c:pt idx="1156">
                  <c:v>16584</c:v>
                </c:pt>
                <c:pt idx="1157">
                  <c:v>16233</c:v>
                </c:pt>
                <c:pt idx="1158">
                  <c:v>52148</c:v>
                </c:pt>
                <c:pt idx="1159">
                  <c:v>53959</c:v>
                </c:pt>
                <c:pt idx="1160">
                  <c:v>134377</c:v>
                </c:pt>
                <c:pt idx="1161">
                  <c:v>103247</c:v>
                </c:pt>
                <c:pt idx="1162">
                  <c:v>10176</c:v>
                </c:pt>
                <c:pt idx="1163">
                  <c:v>35157</c:v>
                </c:pt>
                <c:pt idx="1164">
                  <c:v>12323</c:v>
                </c:pt>
                <c:pt idx="1165">
                  <c:v>11520</c:v>
                </c:pt>
                <c:pt idx="1166">
                  <c:v>19237</c:v>
                </c:pt>
                <c:pt idx="1167">
                  <c:v>7780</c:v>
                </c:pt>
                <c:pt idx="1168">
                  <c:v>5755</c:v>
                </c:pt>
                <c:pt idx="1169">
                  <c:v>15280</c:v>
                </c:pt>
                <c:pt idx="1170">
                  <c:v>14051</c:v>
                </c:pt>
                <c:pt idx="1171">
                  <c:v>33002</c:v>
                </c:pt>
                <c:pt idx="1172">
                  <c:v>15631</c:v>
                </c:pt>
                <c:pt idx="1173">
                  <c:v>11717</c:v>
                </c:pt>
                <c:pt idx="1174">
                  <c:v>13233</c:v>
                </c:pt>
                <c:pt idx="1175">
                  <c:v>14983</c:v>
                </c:pt>
                <c:pt idx="1176">
                  <c:v>36183</c:v>
                </c:pt>
                <c:pt idx="1177">
                  <c:v>35730</c:v>
                </c:pt>
                <c:pt idx="1178">
                  <c:v>13814</c:v>
                </c:pt>
                <c:pt idx="1179">
                  <c:v>23574</c:v>
                </c:pt>
                <c:pt idx="1180">
                  <c:v>22663</c:v>
                </c:pt>
                <c:pt idx="1181">
                  <c:v>22689</c:v>
                </c:pt>
                <c:pt idx="1182">
                  <c:v>65936</c:v>
                </c:pt>
                <c:pt idx="1183">
                  <c:v>12536</c:v>
                </c:pt>
                <c:pt idx="1184">
                  <c:v>12436</c:v>
                </c:pt>
                <c:pt idx="1185">
                  <c:v>14212</c:v>
                </c:pt>
                <c:pt idx="1186">
                  <c:v>31384</c:v>
                </c:pt>
                <c:pt idx="1187">
                  <c:v>52406</c:v>
                </c:pt>
                <c:pt idx="1188">
                  <c:v>38059</c:v>
                </c:pt>
                <c:pt idx="1189">
                  <c:v>32540</c:v>
                </c:pt>
                <c:pt idx="1190">
                  <c:v>10870</c:v>
                </c:pt>
                <c:pt idx="1191">
                  <c:v>16801</c:v>
                </c:pt>
                <c:pt idx="1192">
                  <c:v>16466</c:v>
                </c:pt>
                <c:pt idx="1193">
                  <c:v>30427</c:v>
                </c:pt>
                <c:pt idx="1194">
                  <c:v>16284</c:v>
                </c:pt>
                <c:pt idx="1195">
                  <c:v>32249</c:v>
                </c:pt>
                <c:pt idx="1196">
                  <c:v>51244</c:v>
                </c:pt>
                <c:pt idx="1197">
                  <c:v>62580</c:v>
                </c:pt>
                <c:pt idx="1198">
                  <c:v>41221</c:v>
                </c:pt>
                <c:pt idx="1199">
                  <c:v>41644</c:v>
                </c:pt>
                <c:pt idx="1200">
                  <c:v>83804</c:v>
                </c:pt>
                <c:pt idx="1201">
                  <c:v>49657</c:v>
                </c:pt>
                <c:pt idx="1202">
                  <c:v>36527</c:v>
                </c:pt>
                <c:pt idx="1203">
                  <c:v>52229</c:v>
                </c:pt>
                <c:pt idx="1204">
                  <c:v>70239</c:v>
                </c:pt>
                <c:pt idx="1205">
                  <c:v>55174</c:v>
                </c:pt>
                <c:pt idx="1206">
                  <c:v>73266</c:v>
                </c:pt>
                <c:pt idx="1207">
                  <c:v>74737</c:v>
                </c:pt>
                <c:pt idx="1208">
                  <c:v>37650</c:v>
                </c:pt>
                <c:pt idx="1209">
                  <c:v>95168</c:v>
                </c:pt>
                <c:pt idx="1210">
                  <c:v>46935</c:v>
                </c:pt>
                <c:pt idx="1211">
                  <c:v>80889</c:v>
                </c:pt>
                <c:pt idx="1212">
                  <c:v>30455</c:v>
                </c:pt>
                <c:pt idx="1213">
                  <c:v>19580</c:v>
                </c:pt>
                <c:pt idx="1214">
                  <c:v>21589</c:v>
                </c:pt>
              </c:numCache>
            </c:numRef>
          </c:val>
          <c:extLst>
            <c:ext xmlns:c16="http://schemas.microsoft.com/office/drawing/2014/chart" uri="{C3380CC4-5D6E-409C-BE32-E72D297353CC}">
              <c16:uniqueId val="{00000000-BDA2-48FA-B8B7-7A5AA5560C26}"/>
            </c:ext>
          </c:extLst>
        </c:ser>
        <c:dLbls>
          <c:showLegendKey val="0"/>
          <c:showVal val="0"/>
          <c:showCatName val="0"/>
          <c:showSerName val="0"/>
          <c:showPercent val="0"/>
          <c:showBubbleSize val="0"/>
        </c:dLbls>
        <c:gapWidth val="100"/>
        <c:overlap val="-24"/>
        <c:axId val="70166656"/>
        <c:axId val="70154176"/>
      </c:barChart>
      <c:dateAx>
        <c:axId val="70166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154176"/>
        <c:crosses val="autoZero"/>
        <c:auto val="1"/>
        <c:lblOffset val="100"/>
        <c:baseTimeUnit val="days"/>
      </c:dateAx>
      <c:valAx>
        <c:axId val="7015417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166656"/>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2060"/>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7ED3-4143-82AD-9A7B8DAC2A83}"/>
              </c:ext>
            </c:extLst>
          </c:dPt>
          <c:dPt>
            <c:idx val="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7ED3-4143-82AD-9A7B8DAC2A83}"/>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5-7ED3-4143-82AD-9A7B8DAC2A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Input!$P$24:$P$27</c:f>
              <c:strCache>
                <c:ptCount val="4"/>
                <c:pt idx="0">
                  <c:v>Promoters</c:v>
                </c:pt>
                <c:pt idx="1">
                  <c:v>FIIs</c:v>
                </c:pt>
                <c:pt idx="2">
                  <c:v>DIIs</c:v>
                </c:pt>
                <c:pt idx="3">
                  <c:v>Public &amp; Govt</c:v>
                </c:pt>
              </c:strCache>
            </c:strRef>
          </c:cat>
          <c:val>
            <c:numRef>
              <c:f>Input!$Q$24:$Q$27</c:f>
              <c:numCache>
                <c:formatCode>0.00%</c:formatCode>
                <c:ptCount val="4"/>
                <c:pt idx="0">
                  <c:v>0.58279999999999998</c:v>
                </c:pt>
                <c:pt idx="1">
                  <c:v>0.15759999999999999</c:v>
                </c:pt>
                <c:pt idx="2">
                  <c:v>0.22839999999999999</c:v>
                </c:pt>
                <c:pt idx="3">
                  <c:v>3.1199999999999999E-2</c:v>
                </c:pt>
              </c:numCache>
            </c:numRef>
          </c:val>
          <c:extLst>
            <c:ext xmlns:c16="http://schemas.microsoft.com/office/drawing/2014/chart" uri="{C3380CC4-5D6E-409C-BE32-E72D297353CC}">
              <c16:uniqueId val="{00000006-7ED3-4143-82AD-9A7B8DAC2A83}"/>
            </c:ext>
          </c:extLst>
        </c:ser>
        <c:dLbls>
          <c:dLblPos val="outEnd"/>
          <c:showLegendKey val="0"/>
          <c:showVal val="1"/>
          <c:showCatName val="0"/>
          <c:showSerName val="0"/>
          <c:showPercent val="0"/>
          <c:showBubbleSize val="0"/>
        </c:dLbls>
        <c:gapWidth val="182"/>
        <c:axId val="1435123392"/>
        <c:axId val="1435123872"/>
      </c:barChart>
      <c:catAx>
        <c:axId val="1435123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123872"/>
        <c:crosses val="autoZero"/>
        <c:auto val="1"/>
        <c:lblAlgn val="ctr"/>
        <c:lblOffset val="100"/>
        <c:noMultiLvlLbl val="0"/>
      </c:catAx>
      <c:valAx>
        <c:axId val="1435123872"/>
        <c:scaling>
          <c:orientation val="minMax"/>
        </c:scaling>
        <c:delete val="1"/>
        <c:axPos val="b"/>
        <c:numFmt formatCode="0.00%" sourceLinked="1"/>
        <c:majorTickMark val="out"/>
        <c:minorTickMark val="none"/>
        <c:tickLblPos val="nextTo"/>
        <c:crossAx val="14351233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Input!$E$10</c:f>
              <c:strCache>
                <c:ptCount val="1"/>
                <c:pt idx="0">
                  <c:v>Volume</c:v>
                </c:pt>
              </c:strCache>
            </c:strRef>
          </c:tx>
          <c:spPr>
            <a:solidFill>
              <a:schemeClr val="accent1">
                <a:tint val="55000"/>
              </a:schemeClr>
            </a:solidFill>
            <a:ln w="9525" cap="flat" cmpd="sng" algn="ctr">
              <a:solidFill>
                <a:schemeClr val="bg1">
                  <a:lumMod val="65000"/>
                </a:schemeClr>
              </a:solidFill>
              <a:round/>
            </a:ln>
            <a:effectLst/>
          </c:spPr>
          <c:invertIfNegative val="0"/>
          <c:cat>
            <c:numRef>
              <c:f>Input!$C$11:$C$1225</c:f>
              <c:numCache>
                <c:formatCode>dd\-mm\-yyyy</c:formatCode>
                <c:ptCount val="1215"/>
                <c:pt idx="0">
                  <c:v>46114</c:v>
                </c:pt>
                <c:pt idx="1">
                  <c:v>46113</c:v>
                </c:pt>
                <c:pt idx="2">
                  <c:v>46111</c:v>
                </c:pt>
                <c:pt idx="3">
                  <c:v>46108</c:v>
                </c:pt>
                <c:pt idx="4">
                  <c:v>46106</c:v>
                </c:pt>
                <c:pt idx="5">
                  <c:v>46105</c:v>
                </c:pt>
                <c:pt idx="6">
                  <c:v>46104</c:v>
                </c:pt>
                <c:pt idx="7">
                  <c:v>46100</c:v>
                </c:pt>
                <c:pt idx="8">
                  <c:v>46099</c:v>
                </c:pt>
                <c:pt idx="9">
                  <c:v>46101</c:v>
                </c:pt>
                <c:pt idx="12">
                  <c:v>46098</c:v>
                </c:pt>
                <c:pt idx="13">
                  <c:v>46097</c:v>
                </c:pt>
                <c:pt idx="14">
                  <c:v>46094</c:v>
                </c:pt>
                <c:pt idx="15">
                  <c:v>46093</c:v>
                </c:pt>
                <c:pt idx="16">
                  <c:v>46091</c:v>
                </c:pt>
                <c:pt idx="17">
                  <c:v>46090</c:v>
                </c:pt>
                <c:pt idx="18">
                  <c:v>46087</c:v>
                </c:pt>
                <c:pt idx="19">
                  <c:v>46086</c:v>
                </c:pt>
                <c:pt idx="20">
                  <c:v>46085</c:v>
                </c:pt>
                <c:pt idx="21">
                  <c:v>46083</c:v>
                </c:pt>
                <c:pt idx="22">
                  <c:v>46080</c:v>
                </c:pt>
                <c:pt idx="23">
                  <c:v>46079</c:v>
                </c:pt>
                <c:pt idx="24">
                  <c:v>46078</c:v>
                </c:pt>
                <c:pt idx="25">
                  <c:v>46077</c:v>
                </c:pt>
                <c:pt idx="26">
                  <c:v>46076</c:v>
                </c:pt>
                <c:pt idx="27">
                  <c:v>46073</c:v>
                </c:pt>
                <c:pt idx="28">
                  <c:v>46072</c:v>
                </c:pt>
                <c:pt idx="29">
                  <c:v>46071</c:v>
                </c:pt>
                <c:pt idx="30">
                  <c:v>46070</c:v>
                </c:pt>
                <c:pt idx="31">
                  <c:v>46069</c:v>
                </c:pt>
                <c:pt idx="32">
                  <c:v>46066</c:v>
                </c:pt>
                <c:pt idx="33">
                  <c:v>46065</c:v>
                </c:pt>
                <c:pt idx="34">
                  <c:v>46064</c:v>
                </c:pt>
                <c:pt idx="35">
                  <c:v>46063</c:v>
                </c:pt>
                <c:pt idx="36">
                  <c:v>46062</c:v>
                </c:pt>
                <c:pt idx="37">
                  <c:v>46059</c:v>
                </c:pt>
                <c:pt idx="38">
                  <c:v>46058</c:v>
                </c:pt>
                <c:pt idx="39">
                  <c:v>46057</c:v>
                </c:pt>
                <c:pt idx="40">
                  <c:v>46056</c:v>
                </c:pt>
                <c:pt idx="41">
                  <c:v>46055</c:v>
                </c:pt>
                <c:pt idx="42">
                  <c:v>46052</c:v>
                </c:pt>
                <c:pt idx="43">
                  <c:v>46051</c:v>
                </c:pt>
                <c:pt idx="44">
                  <c:v>46050</c:v>
                </c:pt>
                <c:pt idx="45">
                  <c:v>46049</c:v>
                </c:pt>
                <c:pt idx="46">
                  <c:v>46045</c:v>
                </c:pt>
                <c:pt idx="47">
                  <c:v>46044</c:v>
                </c:pt>
                <c:pt idx="48">
                  <c:v>46043</c:v>
                </c:pt>
                <c:pt idx="49">
                  <c:v>46042</c:v>
                </c:pt>
                <c:pt idx="50">
                  <c:v>46041</c:v>
                </c:pt>
                <c:pt idx="51">
                  <c:v>46038</c:v>
                </c:pt>
                <c:pt idx="52">
                  <c:v>46036</c:v>
                </c:pt>
                <c:pt idx="53">
                  <c:v>46035</c:v>
                </c:pt>
                <c:pt idx="54">
                  <c:v>46034</c:v>
                </c:pt>
                <c:pt idx="55">
                  <c:v>46031</c:v>
                </c:pt>
                <c:pt idx="56">
                  <c:v>46030</c:v>
                </c:pt>
                <c:pt idx="57">
                  <c:v>46029</c:v>
                </c:pt>
                <c:pt idx="58">
                  <c:v>46028</c:v>
                </c:pt>
                <c:pt idx="59">
                  <c:v>46027</c:v>
                </c:pt>
                <c:pt idx="60">
                  <c:v>46024</c:v>
                </c:pt>
                <c:pt idx="61">
                  <c:v>46023</c:v>
                </c:pt>
                <c:pt idx="62">
                  <c:v>46022</c:v>
                </c:pt>
                <c:pt idx="63">
                  <c:v>46021</c:v>
                </c:pt>
                <c:pt idx="64">
                  <c:v>46020</c:v>
                </c:pt>
                <c:pt idx="65">
                  <c:v>46017</c:v>
                </c:pt>
                <c:pt idx="66">
                  <c:v>46015</c:v>
                </c:pt>
                <c:pt idx="67">
                  <c:v>46014</c:v>
                </c:pt>
                <c:pt idx="68">
                  <c:v>46013</c:v>
                </c:pt>
                <c:pt idx="69">
                  <c:v>46010</c:v>
                </c:pt>
                <c:pt idx="70">
                  <c:v>46009</c:v>
                </c:pt>
                <c:pt idx="71">
                  <c:v>46008</c:v>
                </c:pt>
                <c:pt idx="72">
                  <c:v>46007</c:v>
                </c:pt>
                <c:pt idx="73">
                  <c:v>46006</c:v>
                </c:pt>
                <c:pt idx="74">
                  <c:v>46003</c:v>
                </c:pt>
                <c:pt idx="75">
                  <c:v>46002</c:v>
                </c:pt>
                <c:pt idx="76">
                  <c:v>46001</c:v>
                </c:pt>
                <c:pt idx="77">
                  <c:v>46000</c:v>
                </c:pt>
                <c:pt idx="78">
                  <c:v>45999</c:v>
                </c:pt>
                <c:pt idx="79">
                  <c:v>45996</c:v>
                </c:pt>
                <c:pt idx="80">
                  <c:v>45995</c:v>
                </c:pt>
                <c:pt idx="81">
                  <c:v>45994</c:v>
                </c:pt>
                <c:pt idx="82">
                  <c:v>45993</c:v>
                </c:pt>
                <c:pt idx="83">
                  <c:v>45992</c:v>
                </c:pt>
                <c:pt idx="84">
                  <c:v>45989</c:v>
                </c:pt>
                <c:pt idx="85">
                  <c:v>45988</c:v>
                </c:pt>
                <c:pt idx="86">
                  <c:v>45987</c:v>
                </c:pt>
                <c:pt idx="87">
                  <c:v>45986</c:v>
                </c:pt>
                <c:pt idx="88">
                  <c:v>45985</c:v>
                </c:pt>
                <c:pt idx="89">
                  <c:v>45982</c:v>
                </c:pt>
                <c:pt idx="90">
                  <c:v>45981</c:v>
                </c:pt>
                <c:pt idx="91">
                  <c:v>45980</c:v>
                </c:pt>
                <c:pt idx="92">
                  <c:v>45979</c:v>
                </c:pt>
                <c:pt idx="93">
                  <c:v>45978</c:v>
                </c:pt>
                <c:pt idx="94">
                  <c:v>45975</c:v>
                </c:pt>
                <c:pt idx="95">
                  <c:v>45974</c:v>
                </c:pt>
                <c:pt idx="96">
                  <c:v>45973</c:v>
                </c:pt>
                <c:pt idx="97">
                  <c:v>45972</c:v>
                </c:pt>
                <c:pt idx="98">
                  <c:v>45971</c:v>
                </c:pt>
                <c:pt idx="99">
                  <c:v>45968</c:v>
                </c:pt>
                <c:pt idx="100">
                  <c:v>45967</c:v>
                </c:pt>
                <c:pt idx="101">
                  <c:v>45965</c:v>
                </c:pt>
                <c:pt idx="102">
                  <c:v>45964</c:v>
                </c:pt>
                <c:pt idx="103">
                  <c:v>45961</c:v>
                </c:pt>
                <c:pt idx="104">
                  <c:v>45960</c:v>
                </c:pt>
                <c:pt idx="105">
                  <c:v>45959</c:v>
                </c:pt>
                <c:pt idx="106">
                  <c:v>45958</c:v>
                </c:pt>
                <c:pt idx="107">
                  <c:v>45957</c:v>
                </c:pt>
                <c:pt idx="108">
                  <c:v>45954</c:v>
                </c:pt>
                <c:pt idx="109">
                  <c:v>45953</c:v>
                </c:pt>
                <c:pt idx="110">
                  <c:v>45951</c:v>
                </c:pt>
                <c:pt idx="111">
                  <c:v>45950</c:v>
                </c:pt>
                <c:pt idx="112">
                  <c:v>45947</c:v>
                </c:pt>
                <c:pt idx="113">
                  <c:v>45946</c:v>
                </c:pt>
                <c:pt idx="114">
                  <c:v>45945</c:v>
                </c:pt>
                <c:pt idx="115">
                  <c:v>45944</c:v>
                </c:pt>
                <c:pt idx="116">
                  <c:v>45943</c:v>
                </c:pt>
                <c:pt idx="117">
                  <c:v>45940</c:v>
                </c:pt>
                <c:pt idx="118">
                  <c:v>45939</c:v>
                </c:pt>
                <c:pt idx="119">
                  <c:v>45938</c:v>
                </c:pt>
                <c:pt idx="120">
                  <c:v>45937</c:v>
                </c:pt>
                <c:pt idx="121">
                  <c:v>45936</c:v>
                </c:pt>
                <c:pt idx="122">
                  <c:v>45933</c:v>
                </c:pt>
                <c:pt idx="123">
                  <c:v>45931</c:v>
                </c:pt>
                <c:pt idx="124">
                  <c:v>45930</c:v>
                </c:pt>
                <c:pt idx="125">
                  <c:v>45929</c:v>
                </c:pt>
                <c:pt idx="126">
                  <c:v>45926</c:v>
                </c:pt>
                <c:pt idx="127">
                  <c:v>45925</c:v>
                </c:pt>
                <c:pt idx="128">
                  <c:v>45924</c:v>
                </c:pt>
                <c:pt idx="129">
                  <c:v>45923</c:v>
                </c:pt>
                <c:pt idx="130">
                  <c:v>45922</c:v>
                </c:pt>
                <c:pt idx="131">
                  <c:v>45919</c:v>
                </c:pt>
                <c:pt idx="132">
                  <c:v>45918</c:v>
                </c:pt>
                <c:pt idx="133">
                  <c:v>45917</c:v>
                </c:pt>
                <c:pt idx="134">
                  <c:v>45916</c:v>
                </c:pt>
                <c:pt idx="135">
                  <c:v>45915</c:v>
                </c:pt>
                <c:pt idx="136">
                  <c:v>45912</c:v>
                </c:pt>
                <c:pt idx="137">
                  <c:v>45911</c:v>
                </c:pt>
                <c:pt idx="138">
                  <c:v>45910</c:v>
                </c:pt>
                <c:pt idx="139">
                  <c:v>45909</c:v>
                </c:pt>
                <c:pt idx="140">
                  <c:v>45908</c:v>
                </c:pt>
                <c:pt idx="141">
                  <c:v>45905</c:v>
                </c:pt>
                <c:pt idx="142">
                  <c:v>45904</c:v>
                </c:pt>
                <c:pt idx="143">
                  <c:v>45903</c:v>
                </c:pt>
                <c:pt idx="144">
                  <c:v>45902</c:v>
                </c:pt>
                <c:pt idx="145">
                  <c:v>45901</c:v>
                </c:pt>
                <c:pt idx="146">
                  <c:v>45898</c:v>
                </c:pt>
                <c:pt idx="147">
                  <c:v>45897</c:v>
                </c:pt>
                <c:pt idx="148">
                  <c:v>45895</c:v>
                </c:pt>
                <c:pt idx="149">
                  <c:v>45894</c:v>
                </c:pt>
                <c:pt idx="150">
                  <c:v>45891</c:v>
                </c:pt>
                <c:pt idx="151">
                  <c:v>45890</c:v>
                </c:pt>
                <c:pt idx="152">
                  <c:v>45889</c:v>
                </c:pt>
                <c:pt idx="153">
                  <c:v>45888</c:v>
                </c:pt>
                <c:pt idx="154">
                  <c:v>45887</c:v>
                </c:pt>
                <c:pt idx="155">
                  <c:v>45883</c:v>
                </c:pt>
                <c:pt idx="156">
                  <c:v>45882</c:v>
                </c:pt>
                <c:pt idx="157">
                  <c:v>45881</c:v>
                </c:pt>
                <c:pt idx="158">
                  <c:v>45880</c:v>
                </c:pt>
                <c:pt idx="159">
                  <c:v>45877</c:v>
                </c:pt>
                <c:pt idx="160">
                  <c:v>45876</c:v>
                </c:pt>
                <c:pt idx="161">
                  <c:v>45875</c:v>
                </c:pt>
                <c:pt idx="162">
                  <c:v>45874</c:v>
                </c:pt>
                <c:pt idx="163">
                  <c:v>45873</c:v>
                </c:pt>
                <c:pt idx="164">
                  <c:v>45870</c:v>
                </c:pt>
                <c:pt idx="165">
                  <c:v>45869</c:v>
                </c:pt>
                <c:pt idx="166">
                  <c:v>45868</c:v>
                </c:pt>
                <c:pt idx="167">
                  <c:v>45867</c:v>
                </c:pt>
                <c:pt idx="168">
                  <c:v>45866</c:v>
                </c:pt>
                <c:pt idx="169">
                  <c:v>45863</c:v>
                </c:pt>
                <c:pt idx="170">
                  <c:v>45862</c:v>
                </c:pt>
                <c:pt idx="171">
                  <c:v>45861</c:v>
                </c:pt>
                <c:pt idx="172">
                  <c:v>45860</c:v>
                </c:pt>
                <c:pt idx="173">
                  <c:v>45859</c:v>
                </c:pt>
                <c:pt idx="174">
                  <c:v>45856</c:v>
                </c:pt>
                <c:pt idx="175">
                  <c:v>45855</c:v>
                </c:pt>
                <c:pt idx="176">
                  <c:v>45854</c:v>
                </c:pt>
                <c:pt idx="177">
                  <c:v>45853</c:v>
                </c:pt>
                <c:pt idx="178">
                  <c:v>45852</c:v>
                </c:pt>
                <c:pt idx="179">
                  <c:v>45849</c:v>
                </c:pt>
                <c:pt idx="180">
                  <c:v>45848</c:v>
                </c:pt>
                <c:pt idx="181">
                  <c:v>45847</c:v>
                </c:pt>
                <c:pt idx="182">
                  <c:v>45846</c:v>
                </c:pt>
                <c:pt idx="183">
                  <c:v>45845</c:v>
                </c:pt>
                <c:pt idx="184">
                  <c:v>45842</c:v>
                </c:pt>
                <c:pt idx="185">
                  <c:v>45841</c:v>
                </c:pt>
                <c:pt idx="186">
                  <c:v>45840</c:v>
                </c:pt>
                <c:pt idx="187">
                  <c:v>45839</c:v>
                </c:pt>
                <c:pt idx="188">
                  <c:v>45838</c:v>
                </c:pt>
                <c:pt idx="189">
                  <c:v>45835</c:v>
                </c:pt>
                <c:pt idx="190">
                  <c:v>45834</c:v>
                </c:pt>
                <c:pt idx="191">
                  <c:v>45833</c:v>
                </c:pt>
                <c:pt idx="192">
                  <c:v>45832</c:v>
                </c:pt>
                <c:pt idx="193">
                  <c:v>45831</c:v>
                </c:pt>
                <c:pt idx="194">
                  <c:v>45828</c:v>
                </c:pt>
                <c:pt idx="195">
                  <c:v>45827</c:v>
                </c:pt>
                <c:pt idx="196">
                  <c:v>45826</c:v>
                </c:pt>
                <c:pt idx="197">
                  <c:v>45825</c:v>
                </c:pt>
                <c:pt idx="198">
                  <c:v>45824</c:v>
                </c:pt>
                <c:pt idx="199">
                  <c:v>45821</c:v>
                </c:pt>
                <c:pt idx="200">
                  <c:v>45820</c:v>
                </c:pt>
                <c:pt idx="201">
                  <c:v>45819</c:v>
                </c:pt>
                <c:pt idx="202">
                  <c:v>45818</c:v>
                </c:pt>
                <c:pt idx="203">
                  <c:v>45817</c:v>
                </c:pt>
                <c:pt idx="204">
                  <c:v>45814</c:v>
                </c:pt>
                <c:pt idx="205">
                  <c:v>45813</c:v>
                </c:pt>
                <c:pt idx="206">
                  <c:v>45812</c:v>
                </c:pt>
                <c:pt idx="207">
                  <c:v>45811</c:v>
                </c:pt>
                <c:pt idx="208">
                  <c:v>45810</c:v>
                </c:pt>
                <c:pt idx="209">
                  <c:v>45807</c:v>
                </c:pt>
                <c:pt idx="210">
                  <c:v>45806</c:v>
                </c:pt>
                <c:pt idx="211">
                  <c:v>45805</c:v>
                </c:pt>
                <c:pt idx="212">
                  <c:v>45804</c:v>
                </c:pt>
                <c:pt idx="213">
                  <c:v>45803</c:v>
                </c:pt>
                <c:pt idx="214">
                  <c:v>45800</c:v>
                </c:pt>
                <c:pt idx="215">
                  <c:v>45799</c:v>
                </c:pt>
                <c:pt idx="216">
                  <c:v>45798</c:v>
                </c:pt>
                <c:pt idx="217">
                  <c:v>45797</c:v>
                </c:pt>
                <c:pt idx="218">
                  <c:v>45796</c:v>
                </c:pt>
                <c:pt idx="219">
                  <c:v>45793</c:v>
                </c:pt>
                <c:pt idx="220">
                  <c:v>45792</c:v>
                </c:pt>
                <c:pt idx="221">
                  <c:v>45791</c:v>
                </c:pt>
                <c:pt idx="222">
                  <c:v>45790</c:v>
                </c:pt>
                <c:pt idx="223">
                  <c:v>45789</c:v>
                </c:pt>
                <c:pt idx="224">
                  <c:v>45786</c:v>
                </c:pt>
                <c:pt idx="225">
                  <c:v>45785</c:v>
                </c:pt>
                <c:pt idx="226">
                  <c:v>45784</c:v>
                </c:pt>
                <c:pt idx="227">
                  <c:v>45783</c:v>
                </c:pt>
                <c:pt idx="228">
                  <c:v>45782</c:v>
                </c:pt>
                <c:pt idx="229">
                  <c:v>45779</c:v>
                </c:pt>
                <c:pt idx="230">
                  <c:v>45777</c:v>
                </c:pt>
                <c:pt idx="231">
                  <c:v>45776</c:v>
                </c:pt>
                <c:pt idx="232">
                  <c:v>45775</c:v>
                </c:pt>
                <c:pt idx="233">
                  <c:v>45772</c:v>
                </c:pt>
                <c:pt idx="234">
                  <c:v>45771</c:v>
                </c:pt>
                <c:pt idx="235">
                  <c:v>45770</c:v>
                </c:pt>
                <c:pt idx="236">
                  <c:v>45769</c:v>
                </c:pt>
                <c:pt idx="237">
                  <c:v>45768</c:v>
                </c:pt>
                <c:pt idx="238">
                  <c:v>45764</c:v>
                </c:pt>
                <c:pt idx="239">
                  <c:v>45763</c:v>
                </c:pt>
                <c:pt idx="240">
                  <c:v>45762</c:v>
                </c:pt>
                <c:pt idx="241">
                  <c:v>45758</c:v>
                </c:pt>
                <c:pt idx="242">
                  <c:v>45756</c:v>
                </c:pt>
                <c:pt idx="243">
                  <c:v>45755</c:v>
                </c:pt>
                <c:pt idx="244">
                  <c:v>45754</c:v>
                </c:pt>
                <c:pt idx="245">
                  <c:v>45751</c:v>
                </c:pt>
                <c:pt idx="246">
                  <c:v>45750</c:v>
                </c:pt>
                <c:pt idx="247">
                  <c:v>45749</c:v>
                </c:pt>
                <c:pt idx="248">
                  <c:v>45748</c:v>
                </c:pt>
                <c:pt idx="249">
                  <c:v>45744</c:v>
                </c:pt>
                <c:pt idx="250">
                  <c:v>45743</c:v>
                </c:pt>
                <c:pt idx="251">
                  <c:v>45742</c:v>
                </c:pt>
                <c:pt idx="252">
                  <c:v>45741</c:v>
                </c:pt>
                <c:pt idx="253">
                  <c:v>45740</c:v>
                </c:pt>
                <c:pt idx="254">
                  <c:v>45737</c:v>
                </c:pt>
                <c:pt idx="255">
                  <c:v>45736</c:v>
                </c:pt>
                <c:pt idx="256">
                  <c:v>45735</c:v>
                </c:pt>
                <c:pt idx="257">
                  <c:v>45734</c:v>
                </c:pt>
                <c:pt idx="258">
                  <c:v>45733</c:v>
                </c:pt>
                <c:pt idx="259">
                  <c:v>45729</c:v>
                </c:pt>
                <c:pt idx="260">
                  <c:v>45728</c:v>
                </c:pt>
                <c:pt idx="261">
                  <c:v>45727</c:v>
                </c:pt>
                <c:pt idx="262">
                  <c:v>45726</c:v>
                </c:pt>
                <c:pt idx="263">
                  <c:v>45723</c:v>
                </c:pt>
                <c:pt idx="264">
                  <c:v>45722</c:v>
                </c:pt>
                <c:pt idx="265">
                  <c:v>45721</c:v>
                </c:pt>
                <c:pt idx="266">
                  <c:v>45720</c:v>
                </c:pt>
                <c:pt idx="267">
                  <c:v>45719</c:v>
                </c:pt>
                <c:pt idx="268">
                  <c:v>45716</c:v>
                </c:pt>
                <c:pt idx="269">
                  <c:v>45715</c:v>
                </c:pt>
                <c:pt idx="270">
                  <c:v>45713</c:v>
                </c:pt>
                <c:pt idx="271">
                  <c:v>45712</c:v>
                </c:pt>
                <c:pt idx="272">
                  <c:v>45709</c:v>
                </c:pt>
                <c:pt idx="273">
                  <c:v>45708</c:v>
                </c:pt>
                <c:pt idx="274">
                  <c:v>45707</c:v>
                </c:pt>
                <c:pt idx="275">
                  <c:v>45706</c:v>
                </c:pt>
                <c:pt idx="276">
                  <c:v>45705</c:v>
                </c:pt>
                <c:pt idx="277">
                  <c:v>45702</c:v>
                </c:pt>
                <c:pt idx="278">
                  <c:v>45701</c:v>
                </c:pt>
                <c:pt idx="279">
                  <c:v>45700</c:v>
                </c:pt>
                <c:pt idx="280">
                  <c:v>45699</c:v>
                </c:pt>
                <c:pt idx="281">
                  <c:v>45698</c:v>
                </c:pt>
                <c:pt idx="282">
                  <c:v>45695</c:v>
                </c:pt>
                <c:pt idx="283">
                  <c:v>45694</c:v>
                </c:pt>
                <c:pt idx="284">
                  <c:v>45693</c:v>
                </c:pt>
                <c:pt idx="285">
                  <c:v>45692</c:v>
                </c:pt>
                <c:pt idx="286">
                  <c:v>45691</c:v>
                </c:pt>
                <c:pt idx="287">
                  <c:v>45689</c:v>
                </c:pt>
                <c:pt idx="288">
                  <c:v>45688</c:v>
                </c:pt>
                <c:pt idx="289">
                  <c:v>45687</c:v>
                </c:pt>
                <c:pt idx="290">
                  <c:v>45686</c:v>
                </c:pt>
                <c:pt idx="291">
                  <c:v>45685</c:v>
                </c:pt>
                <c:pt idx="292">
                  <c:v>45684</c:v>
                </c:pt>
                <c:pt idx="293">
                  <c:v>45681</c:v>
                </c:pt>
                <c:pt idx="294">
                  <c:v>45680</c:v>
                </c:pt>
                <c:pt idx="295">
                  <c:v>45679</c:v>
                </c:pt>
                <c:pt idx="296">
                  <c:v>45678</c:v>
                </c:pt>
                <c:pt idx="297">
                  <c:v>45677</c:v>
                </c:pt>
                <c:pt idx="298">
                  <c:v>45674</c:v>
                </c:pt>
                <c:pt idx="299">
                  <c:v>45673</c:v>
                </c:pt>
                <c:pt idx="300">
                  <c:v>45672</c:v>
                </c:pt>
                <c:pt idx="301">
                  <c:v>45671</c:v>
                </c:pt>
                <c:pt idx="302">
                  <c:v>45670</c:v>
                </c:pt>
                <c:pt idx="303">
                  <c:v>45667</c:v>
                </c:pt>
                <c:pt idx="304">
                  <c:v>45666</c:v>
                </c:pt>
                <c:pt idx="305">
                  <c:v>45665</c:v>
                </c:pt>
                <c:pt idx="306">
                  <c:v>45664</c:v>
                </c:pt>
                <c:pt idx="307">
                  <c:v>45663</c:v>
                </c:pt>
                <c:pt idx="308">
                  <c:v>45660</c:v>
                </c:pt>
                <c:pt idx="309">
                  <c:v>45659</c:v>
                </c:pt>
                <c:pt idx="310">
                  <c:v>45658</c:v>
                </c:pt>
                <c:pt idx="311">
                  <c:v>45657</c:v>
                </c:pt>
                <c:pt idx="312">
                  <c:v>45656</c:v>
                </c:pt>
                <c:pt idx="313">
                  <c:v>45653</c:v>
                </c:pt>
                <c:pt idx="314">
                  <c:v>45652</c:v>
                </c:pt>
                <c:pt idx="315">
                  <c:v>45650</c:v>
                </c:pt>
                <c:pt idx="316">
                  <c:v>45649</c:v>
                </c:pt>
                <c:pt idx="317">
                  <c:v>45646</c:v>
                </c:pt>
                <c:pt idx="318">
                  <c:v>45645</c:v>
                </c:pt>
                <c:pt idx="319">
                  <c:v>45644</c:v>
                </c:pt>
                <c:pt idx="320">
                  <c:v>45643</c:v>
                </c:pt>
                <c:pt idx="321">
                  <c:v>45642</c:v>
                </c:pt>
                <c:pt idx="322">
                  <c:v>45639</c:v>
                </c:pt>
                <c:pt idx="323">
                  <c:v>45638</c:v>
                </c:pt>
                <c:pt idx="324">
                  <c:v>45637</c:v>
                </c:pt>
                <c:pt idx="325">
                  <c:v>45636</c:v>
                </c:pt>
                <c:pt idx="326">
                  <c:v>45635</c:v>
                </c:pt>
                <c:pt idx="327">
                  <c:v>45632</c:v>
                </c:pt>
                <c:pt idx="328">
                  <c:v>45631</c:v>
                </c:pt>
                <c:pt idx="329">
                  <c:v>45630</c:v>
                </c:pt>
                <c:pt idx="330">
                  <c:v>45629</c:v>
                </c:pt>
                <c:pt idx="331">
                  <c:v>45628</c:v>
                </c:pt>
                <c:pt idx="332">
                  <c:v>45625</c:v>
                </c:pt>
                <c:pt idx="333">
                  <c:v>45624</c:v>
                </c:pt>
                <c:pt idx="334">
                  <c:v>45623</c:v>
                </c:pt>
                <c:pt idx="335">
                  <c:v>45622</c:v>
                </c:pt>
                <c:pt idx="336">
                  <c:v>45621</c:v>
                </c:pt>
                <c:pt idx="337">
                  <c:v>45618</c:v>
                </c:pt>
                <c:pt idx="338">
                  <c:v>45617</c:v>
                </c:pt>
                <c:pt idx="339">
                  <c:v>45615</c:v>
                </c:pt>
                <c:pt idx="340">
                  <c:v>45614</c:v>
                </c:pt>
                <c:pt idx="341">
                  <c:v>45610</c:v>
                </c:pt>
                <c:pt idx="342">
                  <c:v>45609</c:v>
                </c:pt>
                <c:pt idx="343">
                  <c:v>45608</c:v>
                </c:pt>
                <c:pt idx="344">
                  <c:v>45607</c:v>
                </c:pt>
                <c:pt idx="345">
                  <c:v>45604</c:v>
                </c:pt>
                <c:pt idx="346">
                  <c:v>45603</c:v>
                </c:pt>
                <c:pt idx="347">
                  <c:v>45602</c:v>
                </c:pt>
                <c:pt idx="348">
                  <c:v>45600</c:v>
                </c:pt>
                <c:pt idx="349">
                  <c:v>45597</c:v>
                </c:pt>
                <c:pt idx="350">
                  <c:v>45596</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45530</c:v>
                </c:pt>
                <c:pt idx="396">
                  <c:v>45527</c:v>
                </c:pt>
                <c:pt idx="397">
                  <c:v>45526</c:v>
                </c:pt>
                <c:pt idx="398">
                  <c:v>45525</c:v>
                </c:pt>
                <c:pt idx="399">
                  <c:v>45524</c:v>
                </c:pt>
                <c:pt idx="400">
                  <c:v>45523</c:v>
                </c:pt>
                <c:pt idx="401">
                  <c:v>45520</c:v>
                </c:pt>
                <c:pt idx="402">
                  <c:v>45518</c:v>
                </c:pt>
                <c:pt idx="403">
                  <c:v>45517</c:v>
                </c:pt>
                <c:pt idx="404">
                  <c:v>45516</c:v>
                </c:pt>
                <c:pt idx="405">
                  <c:v>45513</c:v>
                </c:pt>
                <c:pt idx="406">
                  <c:v>45512</c:v>
                </c:pt>
                <c:pt idx="407">
                  <c:v>45511</c:v>
                </c:pt>
                <c:pt idx="408">
                  <c:v>45510</c:v>
                </c:pt>
                <c:pt idx="409">
                  <c:v>45509</c:v>
                </c:pt>
                <c:pt idx="410">
                  <c:v>45506</c:v>
                </c:pt>
                <c:pt idx="411">
                  <c:v>45505</c:v>
                </c:pt>
                <c:pt idx="412">
                  <c:v>45504</c:v>
                </c:pt>
                <c:pt idx="413">
                  <c:v>45503</c:v>
                </c:pt>
                <c:pt idx="414">
                  <c:v>45502</c:v>
                </c:pt>
                <c:pt idx="415">
                  <c:v>45499</c:v>
                </c:pt>
                <c:pt idx="416">
                  <c:v>45498</c:v>
                </c:pt>
                <c:pt idx="417">
                  <c:v>45497</c:v>
                </c:pt>
                <c:pt idx="418">
                  <c:v>45496</c:v>
                </c:pt>
                <c:pt idx="419">
                  <c:v>45495</c:v>
                </c:pt>
                <c:pt idx="420">
                  <c:v>45492</c:v>
                </c:pt>
                <c:pt idx="421">
                  <c:v>45491</c:v>
                </c:pt>
                <c:pt idx="422">
                  <c:v>45489</c:v>
                </c:pt>
                <c:pt idx="423">
                  <c:v>45488</c:v>
                </c:pt>
                <c:pt idx="424">
                  <c:v>45485</c:v>
                </c:pt>
                <c:pt idx="425">
                  <c:v>45484</c:v>
                </c:pt>
                <c:pt idx="426">
                  <c:v>45483</c:v>
                </c:pt>
                <c:pt idx="427">
                  <c:v>45482</c:v>
                </c:pt>
                <c:pt idx="428">
                  <c:v>45481</c:v>
                </c:pt>
                <c:pt idx="429">
                  <c:v>45478</c:v>
                </c:pt>
                <c:pt idx="430">
                  <c:v>45477</c:v>
                </c:pt>
                <c:pt idx="431">
                  <c:v>45476</c:v>
                </c:pt>
                <c:pt idx="432">
                  <c:v>45475</c:v>
                </c:pt>
                <c:pt idx="433">
                  <c:v>45474</c:v>
                </c:pt>
                <c:pt idx="434">
                  <c:v>45471</c:v>
                </c:pt>
                <c:pt idx="435">
                  <c:v>45470</c:v>
                </c:pt>
                <c:pt idx="436">
                  <c:v>45469</c:v>
                </c:pt>
                <c:pt idx="437">
                  <c:v>45468</c:v>
                </c:pt>
                <c:pt idx="438">
                  <c:v>45467</c:v>
                </c:pt>
                <c:pt idx="439">
                  <c:v>45464</c:v>
                </c:pt>
                <c:pt idx="440">
                  <c:v>45463</c:v>
                </c:pt>
                <c:pt idx="441">
                  <c:v>45462</c:v>
                </c:pt>
                <c:pt idx="442">
                  <c:v>45461</c:v>
                </c:pt>
                <c:pt idx="443">
                  <c:v>45457</c:v>
                </c:pt>
                <c:pt idx="444">
                  <c:v>45456</c:v>
                </c:pt>
                <c:pt idx="445">
                  <c:v>45455</c:v>
                </c:pt>
                <c:pt idx="446">
                  <c:v>45454</c:v>
                </c:pt>
                <c:pt idx="447">
                  <c:v>45453</c:v>
                </c:pt>
                <c:pt idx="448">
                  <c:v>45450</c:v>
                </c:pt>
                <c:pt idx="449">
                  <c:v>45449</c:v>
                </c:pt>
                <c:pt idx="450">
                  <c:v>45448</c:v>
                </c:pt>
                <c:pt idx="451">
                  <c:v>45447</c:v>
                </c:pt>
                <c:pt idx="452">
                  <c:v>45446</c:v>
                </c:pt>
                <c:pt idx="453">
                  <c:v>45443</c:v>
                </c:pt>
                <c:pt idx="454">
                  <c:v>45442</c:v>
                </c:pt>
                <c:pt idx="455">
                  <c:v>45441</c:v>
                </c:pt>
                <c:pt idx="456">
                  <c:v>45440</c:v>
                </c:pt>
                <c:pt idx="457">
                  <c:v>45439</c:v>
                </c:pt>
                <c:pt idx="458">
                  <c:v>45436</c:v>
                </c:pt>
                <c:pt idx="459">
                  <c:v>45435</c:v>
                </c:pt>
                <c:pt idx="460">
                  <c:v>45434</c:v>
                </c:pt>
                <c:pt idx="461">
                  <c:v>45433</c:v>
                </c:pt>
                <c:pt idx="462">
                  <c:v>45429</c:v>
                </c:pt>
                <c:pt idx="463">
                  <c:v>45428</c:v>
                </c:pt>
                <c:pt idx="464">
                  <c:v>45427</c:v>
                </c:pt>
                <c:pt idx="465">
                  <c:v>45426</c:v>
                </c:pt>
                <c:pt idx="466">
                  <c:v>45425</c:v>
                </c:pt>
                <c:pt idx="467">
                  <c:v>45422</c:v>
                </c:pt>
                <c:pt idx="468">
                  <c:v>45421</c:v>
                </c:pt>
                <c:pt idx="469">
                  <c:v>45420</c:v>
                </c:pt>
                <c:pt idx="470">
                  <c:v>45419</c:v>
                </c:pt>
                <c:pt idx="471">
                  <c:v>45418</c:v>
                </c:pt>
                <c:pt idx="472">
                  <c:v>45415</c:v>
                </c:pt>
                <c:pt idx="473">
                  <c:v>45414</c:v>
                </c:pt>
                <c:pt idx="474">
                  <c:v>45412</c:v>
                </c:pt>
                <c:pt idx="475">
                  <c:v>45411</c:v>
                </c:pt>
                <c:pt idx="476">
                  <c:v>45408</c:v>
                </c:pt>
                <c:pt idx="477">
                  <c:v>45407</c:v>
                </c:pt>
                <c:pt idx="478">
                  <c:v>45406</c:v>
                </c:pt>
                <c:pt idx="479">
                  <c:v>45405</c:v>
                </c:pt>
                <c:pt idx="480">
                  <c:v>45404</c:v>
                </c:pt>
                <c:pt idx="481">
                  <c:v>45401</c:v>
                </c:pt>
                <c:pt idx="482">
                  <c:v>45400</c:v>
                </c:pt>
                <c:pt idx="483">
                  <c:v>45398</c:v>
                </c:pt>
                <c:pt idx="484">
                  <c:v>45397</c:v>
                </c:pt>
                <c:pt idx="485">
                  <c:v>45394</c:v>
                </c:pt>
                <c:pt idx="486">
                  <c:v>45392</c:v>
                </c:pt>
                <c:pt idx="487">
                  <c:v>45391</c:v>
                </c:pt>
                <c:pt idx="488">
                  <c:v>45390</c:v>
                </c:pt>
                <c:pt idx="489">
                  <c:v>45387</c:v>
                </c:pt>
                <c:pt idx="490">
                  <c:v>45386</c:v>
                </c:pt>
                <c:pt idx="491">
                  <c:v>45385</c:v>
                </c:pt>
                <c:pt idx="492">
                  <c:v>45384</c:v>
                </c:pt>
                <c:pt idx="493">
                  <c:v>45383</c:v>
                </c:pt>
                <c:pt idx="494">
                  <c:v>45379</c:v>
                </c:pt>
                <c:pt idx="495">
                  <c:v>45378</c:v>
                </c:pt>
                <c:pt idx="496">
                  <c:v>45377</c:v>
                </c:pt>
                <c:pt idx="497">
                  <c:v>45373</c:v>
                </c:pt>
                <c:pt idx="498">
                  <c:v>45372</c:v>
                </c:pt>
                <c:pt idx="499">
                  <c:v>45371</c:v>
                </c:pt>
                <c:pt idx="500">
                  <c:v>45370</c:v>
                </c:pt>
                <c:pt idx="501">
                  <c:v>45369</c:v>
                </c:pt>
                <c:pt idx="502">
                  <c:v>45366</c:v>
                </c:pt>
                <c:pt idx="503">
                  <c:v>45365</c:v>
                </c:pt>
                <c:pt idx="504">
                  <c:v>45364</c:v>
                </c:pt>
                <c:pt idx="505">
                  <c:v>45363</c:v>
                </c:pt>
                <c:pt idx="506">
                  <c:v>45362</c:v>
                </c:pt>
                <c:pt idx="507">
                  <c:v>45358</c:v>
                </c:pt>
                <c:pt idx="508">
                  <c:v>45357</c:v>
                </c:pt>
                <c:pt idx="509">
                  <c:v>45356</c:v>
                </c:pt>
                <c:pt idx="510">
                  <c:v>45355</c:v>
                </c:pt>
                <c:pt idx="511">
                  <c:v>45352</c:v>
                </c:pt>
                <c:pt idx="512">
                  <c:v>45351</c:v>
                </c:pt>
                <c:pt idx="513">
                  <c:v>45350</c:v>
                </c:pt>
                <c:pt idx="514">
                  <c:v>45349</c:v>
                </c:pt>
                <c:pt idx="515">
                  <c:v>45348</c:v>
                </c:pt>
                <c:pt idx="516">
                  <c:v>45345</c:v>
                </c:pt>
                <c:pt idx="517">
                  <c:v>45344</c:v>
                </c:pt>
                <c:pt idx="518">
                  <c:v>45343</c:v>
                </c:pt>
                <c:pt idx="519">
                  <c:v>45342</c:v>
                </c:pt>
                <c:pt idx="520">
                  <c:v>45341</c:v>
                </c:pt>
                <c:pt idx="521">
                  <c:v>45338</c:v>
                </c:pt>
                <c:pt idx="522">
                  <c:v>45337</c:v>
                </c:pt>
                <c:pt idx="523">
                  <c:v>45336</c:v>
                </c:pt>
                <c:pt idx="524">
                  <c:v>45335</c:v>
                </c:pt>
                <c:pt idx="525">
                  <c:v>45334</c:v>
                </c:pt>
                <c:pt idx="526">
                  <c:v>45331</c:v>
                </c:pt>
                <c:pt idx="527">
                  <c:v>45330</c:v>
                </c:pt>
                <c:pt idx="528">
                  <c:v>45329</c:v>
                </c:pt>
                <c:pt idx="529">
                  <c:v>45328</c:v>
                </c:pt>
                <c:pt idx="530">
                  <c:v>45327</c:v>
                </c:pt>
                <c:pt idx="531">
                  <c:v>45324</c:v>
                </c:pt>
                <c:pt idx="532">
                  <c:v>45323</c:v>
                </c:pt>
                <c:pt idx="533">
                  <c:v>45322</c:v>
                </c:pt>
                <c:pt idx="534">
                  <c:v>45321</c:v>
                </c:pt>
                <c:pt idx="535">
                  <c:v>45320</c:v>
                </c:pt>
                <c:pt idx="536">
                  <c:v>45316</c:v>
                </c:pt>
                <c:pt idx="537">
                  <c:v>45315</c:v>
                </c:pt>
                <c:pt idx="538">
                  <c:v>45314</c:v>
                </c:pt>
                <c:pt idx="539">
                  <c:v>45310</c:v>
                </c:pt>
                <c:pt idx="540">
                  <c:v>45308</c:v>
                </c:pt>
                <c:pt idx="541">
                  <c:v>45307</c:v>
                </c:pt>
                <c:pt idx="542">
                  <c:v>45306</c:v>
                </c:pt>
                <c:pt idx="543">
                  <c:v>45303</c:v>
                </c:pt>
                <c:pt idx="544">
                  <c:v>45302</c:v>
                </c:pt>
                <c:pt idx="545">
                  <c:v>45301</c:v>
                </c:pt>
                <c:pt idx="546">
                  <c:v>45300</c:v>
                </c:pt>
                <c:pt idx="547">
                  <c:v>45299</c:v>
                </c:pt>
                <c:pt idx="548">
                  <c:v>45296</c:v>
                </c:pt>
                <c:pt idx="549">
                  <c:v>45295</c:v>
                </c:pt>
                <c:pt idx="550">
                  <c:v>45294</c:v>
                </c:pt>
                <c:pt idx="551">
                  <c:v>45293</c:v>
                </c:pt>
                <c:pt idx="552">
                  <c:v>45292</c:v>
                </c:pt>
                <c:pt idx="553">
                  <c:v>45289</c:v>
                </c:pt>
                <c:pt idx="554">
                  <c:v>45288</c:v>
                </c:pt>
                <c:pt idx="555">
                  <c:v>45287</c:v>
                </c:pt>
                <c:pt idx="556">
                  <c:v>45286</c:v>
                </c:pt>
                <c:pt idx="557">
                  <c:v>45282</c:v>
                </c:pt>
                <c:pt idx="558">
                  <c:v>45281</c:v>
                </c:pt>
                <c:pt idx="559">
                  <c:v>45280</c:v>
                </c:pt>
                <c:pt idx="560">
                  <c:v>45279</c:v>
                </c:pt>
                <c:pt idx="561">
                  <c:v>45278</c:v>
                </c:pt>
                <c:pt idx="562">
                  <c:v>45275</c:v>
                </c:pt>
                <c:pt idx="563">
                  <c:v>45274</c:v>
                </c:pt>
                <c:pt idx="564">
                  <c:v>45273</c:v>
                </c:pt>
                <c:pt idx="565">
                  <c:v>45272</c:v>
                </c:pt>
                <c:pt idx="566">
                  <c:v>45271</c:v>
                </c:pt>
                <c:pt idx="567">
                  <c:v>45268</c:v>
                </c:pt>
                <c:pt idx="568">
                  <c:v>45267</c:v>
                </c:pt>
                <c:pt idx="569">
                  <c:v>45266</c:v>
                </c:pt>
                <c:pt idx="570">
                  <c:v>45265</c:v>
                </c:pt>
                <c:pt idx="571">
                  <c:v>45264</c:v>
                </c:pt>
                <c:pt idx="572">
                  <c:v>45261</c:v>
                </c:pt>
                <c:pt idx="573">
                  <c:v>45260</c:v>
                </c:pt>
                <c:pt idx="574">
                  <c:v>45259</c:v>
                </c:pt>
                <c:pt idx="575">
                  <c:v>45258</c:v>
                </c:pt>
                <c:pt idx="576">
                  <c:v>45254</c:v>
                </c:pt>
                <c:pt idx="577">
                  <c:v>45253</c:v>
                </c:pt>
                <c:pt idx="578">
                  <c:v>45252</c:v>
                </c:pt>
                <c:pt idx="579">
                  <c:v>45251</c:v>
                </c:pt>
                <c:pt idx="580">
                  <c:v>45250</c:v>
                </c:pt>
                <c:pt idx="581">
                  <c:v>45247</c:v>
                </c:pt>
                <c:pt idx="582">
                  <c:v>45246</c:v>
                </c:pt>
                <c:pt idx="583">
                  <c:v>45245</c:v>
                </c:pt>
                <c:pt idx="584">
                  <c:v>45243</c:v>
                </c:pt>
                <c:pt idx="585">
                  <c:v>45240</c:v>
                </c:pt>
                <c:pt idx="586">
                  <c:v>45239</c:v>
                </c:pt>
                <c:pt idx="587">
                  <c:v>45238</c:v>
                </c:pt>
                <c:pt idx="588">
                  <c:v>45237</c:v>
                </c:pt>
                <c:pt idx="589">
                  <c:v>45236</c:v>
                </c:pt>
                <c:pt idx="590">
                  <c:v>45233</c:v>
                </c:pt>
                <c:pt idx="591">
                  <c:v>45232</c:v>
                </c:pt>
                <c:pt idx="592">
                  <c:v>45231</c:v>
                </c:pt>
                <c:pt idx="593">
                  <c:v>45230</c:v>
                </c:pt>
                <c:pt idx="594">
                  <c:v>45229</c:v>
                </c:pt>
                <c:pt idx="595">
                  <c:v>45226</c:v>
                </c:pt>
                <c:pt idx="596">
                  <c:v>45225</c:v>
                </c:pt>
                <c:pt idx="597">
                  <c:v>45224</c:v>
                </c:pt>
                <c:pt idx="598">
                  <c:v>45222</c:v>
                </c:pt>
                <c:pt idx="599">
                  <c:v>45219</c:v>
                </c:pt>
                <c:pt idx="600">
                  <c:v>45218</c:v>
                </c:pt>
                <c:pt idx="601">
                  <c:v>45217</c:v>
                </c:pt>
                <c:pt idx="602">
                  <c:v>45216</c:v>
                </c:pt>
                <c:pt idx="603">
                  <c:v>45215</c:v>
                </c:pt>
                <c:pt idx="604">
                  <c:v>45212</c:v>
                </c:pt>
                <c:pt idx="605">
                  <c:v>45211</c:v>
                </c:pt>
                <c:pt idx="606">
                  <c:v>45210</c:v>
                </c:pt>
                <c:pt idx="607">
                  <c:v>45209</c:v>
                </c:pt>
                <c:pt idx="608">
                  <c:v>45208</c:v>
                </c:pt>
                <c:pt idx="609">
                  <c:v>45205</c:v>
                </c:pt>
                <c:pt idx="610">
                  <c:v>45204</c:v>
                </c:pt>
                <c:pt idx="611">
                  <c:v>45203</c:v>
                </c:pt>
                <c:pt idx="612">
                  <c:v>45202</c:v>
                </c:pt>
                <c:pt idx="613">
                  <c:v>45198</c:v>
                </c:pt>
                <c:pt idx="614">
                  <c:v>45197</c:v>
                </c:pt>
                <c:pt idx="615">
                  <c:v>45196</c:v>
                </c:pt>
                <c:pt idx="616">
                  <c:v>45195</c:v>
                </c:pt>
                <c:pt idx="617">
                  <c:v>45194</c:v>
                </c:pt>
                <c:pt idx="618">
                  <c:v>45191</c:v>
                </c:pt>
                <c:pt idx="619">
                  <c:v>45190</c:v>
                </c:pt>
                <c:pt idx="620">
                  <c:v>45189</c:v>
                </c:pt>
                <c:pt idx="621">
                  <c:v>45187</c:v>
                </c:pt>
                <c:pt idx="622">
                  <c:v>45184</c:v>
                </c:pt>
                <c:pt idx="623">
                  <c:v>45183</c:v>
                </c:pt>
                <c:pt idx="624">
                  <c:v>45182</c:v>
                </c:pt>
                <c:pt idx="625">
                  <c:v>45181</c:v>
                </c:pt>
                <c:pt idx="626">
                  <c:v>45180</c:v>
                </c:pt>
                <c:pt idx="627">
                  <c:v>45177</c:v>
                </c:pt>
                <c:pt idx="628">
                  <c:v>45176</c:v>
                </c:pt>
                <c:pt idx="629">
                  <c:v>45175</c:v>
                </c:pt>
                <c:pt idx="630">
                  <c:v>45174</c:v>
                </c:pt>
                <c:pt idx="631">
                  <c:v>45173</c:v>
                </c:pt>
                <c:pt idx="632">
                  <c:v>45170</c:v>
                </c:pt>
                <c:pt idx="633">
                  <c:v>45169</c:v>
                </c:pt>
                <c:pt idx="634">
                  <c:v>45168</c:v>
                </c:pt>
                <c:pt idx="635">
                  <c:v>45167</c:v>
                </c:pt>
                <c:pt idx="636">
                  <c:v>45166</c:v>
                </c:pt>
                <c:pt idx="637">
                  <c:v>45163</c:v>
                </c:pt>
                <c:pt idx="638">
                  <c:v>45162</c:v>
                </c:pt>
                <c:pt idx="639">
                  <c:v>45161</c:v>
                </c:pt>
                <c:pt idx="640">
                  <c:v>45160</c:v>
                </c:pt>
                <c:pt idx="641">
                  <c:v>45159</c:v>
                </c:pt>
                <c:pt idx="642">
                  <c:v>45156</c:v>
                </c:pt>
                <c:pt idx="643">
                  <c:v>45155</c:v>
                </c:pt>
                <c:pt idx="644">
                  <c:v>45154</c:v>
                </c:pt>
                <c:pt idx="645">
                  <c:v>45152</c:v>
                </c:pt>
                <c:pt idx="646">
                  <c:v>45149</c:v>
                </c:pt>
                <c:pt idx="647">
                  <c:v>45148</c:v>
                </c:pt>
                <c:pt idx="648">
                  <c:v>45147</c:v>
                </c:pt>
                <c:pt idx="649">
                  <c:v>45146</c:v>
                </c:pt>
                <c:pt idx="650">
                  <c:v>45145</c:v>
                </c:pt>
                <c:pt idx="651">
                  <c:v>45142</c:v>
                </c:pt>
                <c:pt idx="652">
                  <c:v>45141</c:v>
                </c:pt>
                <c:pt idx="653">
                  <c:v>45135</c:v>
                </c:pt>
                <c:pt idx="654">
                  <c:v>45133</c:v>
                </c:pt>
                <c:pt idx="655">
                  <c:v>45131</c:v>
                </c:pt>
                <c:pt idx="656">
                  <c:v>45128</c:v>
                </c:pt>
                <c:pt idx="657">
                  <c:v>45127</c:v>
                </c:pt>
                <c:pt idx="658">
                  <c:v>45126</c:v>
                </c:pt>
                <c:pt idx="659">
                  <c:v>45124</c:v>
                </c:pt>
                <c:pt idx="660">
                  <c:v>45121</c:v>
                </c:pt>
                <c:pt idx="661">
                  <c:v>45117</c:v>
                </c:pt>
                <c:pt idx="662">
                  <c:v>45114</c:v>
                </c:pt>
                <c:pt idx="663">
                  <c:v>45107</c:v>
                </c:pt>
                <c:pt idx="664">
                  <c:v>45105</c:v>
                </c:pt>
                <c:pt idx="665">
                  <c:v>45104</c:v>
                </c:pt>
                <c:pt idx="666">
                  <c:v>45103</c:v>
                </c:pt>
                <c:pt idx="667">
                  <c:v>45100</c:v>
                </c:pt>
                <c:pt idx="668">
                  <c:v>45099</c:v>
                </c:pt>
                <c:pt idx="669">
                  <c:v>45098</c:v>
                </c:pt>
                <c:pt idx="670">
                  <c:v>45097</c:v>
                </c:pt>
                <c:pt idx="671">
                  <c:v>45096</c:v>
                </c:pt>
                <c:pt idx="672">
                  <c:v>45093</c:v>
                </c:pt>
                <c:pt idx="673">
                  <c:v>45092</c:v>
                </c:pt>
                <c:pt idx="674">
                  <c:v>45091</c:v>
                </c:pt>
                <c:pt idx="675">
                  <c:v>45090</c:v>
                </c:pt>
                <c:pt idx="676">
                  <c:v>45089</c:v>
                </c:pt>
                <c:pt idx="677">
                  <c:v>45086</c:v>
                </c:pt>
                <c:pt idx="678">
                  <c:v>45085</c:v>
                </c:pt>
                <c:pt idx="679">
                  <c:v>45084</c:v>
                </c:pt>
                <c:pt idx="680">
                  <c:v>45083</c:v>
                </c:pt>
                <c:pt idx="681">
                  <c:v>45082</c:v>
                </c:pt>
                <c:pt idx="682">
                  <c:v>45079</c:v>
                </c:pt>
                <c:pt idx="683">
                  <c:v>45078</c:v>
                </c:pt>
                <c:pt idx="684">
                  <c:v>45077</c:v>
                </c:pt>
                <c:pt idx="685">
                  <c:v>45076</c:v>
                </c:pt>
                <c:pt idx="686">
                  <c:v>45072</c:v>
                </c:pt>
                <c:pt idx="687">
                  <c:v>45071</c:v>
                </c:pt>
                <c:pt idx="688">
                  <c:v>45070</c:v>
                </c:pt>
                <c:pt idx="689">
                  <c:v>45069</c:v>
                </c:pt>
                <c:pt idx="690">
                  <c:v>45068</c:v>
                </c:pt>
                <c:pt idx="691">
                  <c:v>45065</c:v>
                </c:pt>
                <c:pt idx="692">
                  <c:v>45063</c:v>
                </c:pt>
                <c:pt idx="693">
                  <c:v>45062</c:v>
                </c:pt>
                <c:pt idx="694">
                  <c:v>45061</c:v>
                </c:pt>
                <c:pt idx="695">
                  <c:v>45058</c:v>
                </c:pt>
                <c:pt idx="696">
                  <c:v>45057</c:v>
                </c:pt>
                <c:pt idx="697">
                  <c:v>45056</c:v>
                </c:pt>
                <c:pt idx="698">
                  <c:v>45055</c:v>
                </c:pt>
                <c:pt idx="699">
                  <c:v>45054</c:v>
                </c:pt>
                <c:pt idx="700">
                  <c:v>45051</c:v>
                </c:pt>
                <c:pt idx="701">
                  <c:v>45050</c:v>
                </c:pt>
                <c:pt idx="702">
                  <c:v>45049</c:v>
                </c:pt>
                <c:pt idx="703">
                  <c:v>45048</c:v>
                </c:pt>
                <c:pt idx="704">
                  <c:v>45044</c:v>
                </c:pt>
                <c:pt idx="705">
                  <c:v>45043</c:v>
                </c:pt>
                <c:pt idx="706">
                  <c:v>45042</c:v>
                </c:pt>
                <c:pt idx="707">
                  <c:v>45041</c:v>
                </c:pt>
                <c:pt idx="708">
                  <c:v>45040</c:v>
                </c:pt>
                <c:pt idx="709">
                  <c:v>45037</c:v>
                </c:pt>
                <c:pt idx="710">
                  <c:v>45036</c:v>
                </c:pt>
                <c:pt idx="711">
                  <c:v>45035</c:v>
                </c:pt>
                <c:pt idx="712">
                  <c:v>45034</c:v>
                </c:pt>
                <c:pt idx="713">
                  <c:v>45033</c:v>
                </c:pt>
                <c:pt idx="714">
                  <c:v>45029</c:v>
                </c:pt>
                <c:pt idx="715">
                  <c:v>45028</c:v>
                </c:pt>
                <c:pt idx="716">
                  <c:v>45027</c:v>
                </c:pt>
                <c:pt idx="717">
                  <c:v>45026</c:v>
                </c:pt>
                <c:pt idx="718">
                  <c:v>45022</c:v>
                </c:pt>
                <c:pt idx="719">
                  <c:v>45021</c:v>
                </c:pt>
                <c:pt idx="720">
                  <c:v>45019</c:v>
                </c:pt>
                <c:pt idx="721">
                  <c:v>45016</c:v>
                </c:pt>
                <c:pt idx="722">
                  <c:v>45014</c:v>
                </c:pt>
                <c:pt idx="723">
                  <c:v>45013</c:v>
                </c:pt>
                <c:pt idx="724">
                  <c:v>45012</c:v>
                </c:pt>
                <c:pt idx="725">
                  <c:v>45009</c:v>
                </c:pt>
                <c:pt idx="726">
                  <c:v>45008</c:v>
                </c:pt>
                <c:pt idx="727">
                  <c:v>45007</c:v>
                </c:pt>
                <c:pt idx="728">
                  <c:v>45006</c:v>
                </c:pt>
                <c:pt idx="729">
                  <c:v>45005</c:v>
                </c:pt>
                <c:pt idx="730">
                  <c:v>45002</c:v>
                </c:pt>
                <c:pt idx="731">
                  <c:v>45001</c:v>
                </c:pt>
                <c:pt idx="732">
                  <c:v>45000</c:v>
                </c:pt>
                <c:pt idx="733">
                  <c:v>44999</c:v>
                </c:pt>
                <c:pt idx="734">
                  <c:v>44998</c:v>
                </c:pt>
                <c:pt idx="735">
                  <c:v>44995</c:v>
                </c:pt>
                <c:pt idx="736">
                  <c:v>44994</c:v>
                </c:pt>
                <c:pt idx="737">
                  <c:v>44993</c:v>
                </c:pt>
                <c:pt idx="738">
                  <c:v>44991</c:v>
                </c:pt>
                <c:pt idx="739">
                  <c:v>44988</c:v>
                </c:pt>
                <c:pt idx="740">
                  <c:v>44987</c:v>
                </c:pt>
                <c:pt idx="741">
                  <c:v>44986</c:v>
                </c:pt>
                <c:pt idx="742">
                  <c:v>44985</c:v>
                </c:pt>
                <c:pt idx="743">
                  <c:v>44984</c:v>
                </c:pt>
                <c:pt idx="744">
                  <c:v>44981</c:v>
                </c:pt>
                <c:pt idx="745">
                  <c:v>44980</c:v>
                </c:pt>
                <c:pt idx="746">
                  <c:v>44979</c:v>
                </c:pt>
                <c:pt idx="747">
                  <c:v>44978</c:v>
                </c:pt>
                <c:pt idx="748">
                  <c:v>44977</c:v>
                </c:pt>
                <c:pt idx="749">
                  <c:v>44974</c:v>
                </c:pt>
                <c:pt idx="750">
                  <c:v>44973</c:v>
                </c:pt>
                <c:pt idx="751">
                  <c:v>44972</c:v>
                </c:pt>
                <c:pt idx="752">
                  <c:v>44971</c:v>
                </c:pt>
                <c:pt idx="753">
                  <c:v>44970</c:v>
                </c:pt>
                <c:pt idx="754">
                  <c:v>44967</c:v>
                </c:pt>
                <c:pt idx="755">
                  <c:v>44966</c:v>
                </c:pt>
                <c:pt idx="756">
                  <c:v>44965</c:v>
                </c:pt>
                <c:pt idx="757">
                  <c:v>44964</c:v>
                </c:pt>
                <c:pt idx="758">
                  <c:v>44963</c:v>
                </c:pt>
                <c:pt idx="759">
                  <c:v>44960</c:v>
                </c:pt>
                <c:pt idx="760">
                  <c:v>44959</c:v>
                </c:pt>
                <c:pt idx="761">
                  <c:v>44958</c:v>
                </c:pt>
                <c:pt idx="762">
                  <c:v>44957</c:v>
                </c:pt>
                <c:pt idx="763">
                  <c:v>44956</c:v>
                </c:pt>
                <c:pt idx="764">
                  <c:v>44953</c:v>
                </c:pt>
                <c:pt idx="765">
                  <c:v>44951</c:v>
                </c:pt>
                <c:pt idx="766">
                  <c:v>44950</c:v>
                </c:pt>
                <c:pt idx="767">
                  <c:v>44949</c:v>
                </c:pt>
                <c:pt idx="768">
                  <c:v>44946</c:v>
                </c:pt>
                <c:pt idx="769">
                  <c:v>44945</c:v>
                </c:pt>
                <c:pt idx="770">
                  <c:v>44944</c:v>
                </c:pt>
                <c:pt idx="771">
                  <c:v>44943</c:v>
                </c:pt>
                <c:pt idx="772">
                  <c:v>44942</c:v>
                </c:pt>
                <c:pt idx="773">
                  <c:v>44939</c:v>
                </c:pt>
                <c:pt idx="774">
                  <c:v>44938</c:v>
                </c:pt>
                <c:pt idx="775">
                  <c:v>44937</c:v>
                </c:pt>
                <c:pt idx="776">
                  <c:v>44936</c:v>
                </c:pt>
                <c:pt idx="777">
                  <c:v>44935</c:v>
                </c:pt>
                <c:pt idx="778">
                  <c:v>44932</c:v>
                </c:pt>
                <c:pt idx="779">
                  <c:v>44931</c:v>
                </c:pt>
                <c:pt idx="780">
                  <c:v>44930</c:v>
                </c:pt>
                <c:pt idx="781">
                  <c:v>44929</c:v>
                </c:pt>
                <c:pt idx="782">
                  <c:v>44928</c:v>
                </c:pt>
                <c:pt idx="783">
                  <c:v>44925</c:v>
                </c:pt>
                <c:pt idx="784">
                  <c:v>44924</c:v>
                </c:pt>
                <c:pt idx="785">
                  <c:v>44923</c:v>
                </c:pt>
                <c:pt idx="786">
                  <c:v>44922</c:v>
                </c:pt>
                <c:pt idx="787">
                  <c:v>44921</c:v>
                </c:pt>
                <c:pt idx="788">
                  <c:v>44918</c:v>
                </c:pt>
                <c:pt idx="789">
                  <c:v>44917</c:v>
                </c:pt>
                <c:pt idx="790">
                  <c:v>44916</c:v>
                </c:pt>
                <c:pt idx="791">
                  <c:v>44915</c:v>
                </c:pt>
                <c:pt idx="792">
                  <c:v>44914</c:v>
                </c:pt>
                <c:pt idx="793">
                  <c:v>44911</c:v>
                </c:pt>
                <c:pt idx="794">
                  <c:v>44910</c:v>
                </c:pt>
                <c:pt idx="795">
                  <c:v>44909</c:v>
                </c:pt>
                <c:pt idx="796">
                  <c:v>44908</c:v>
                </c:pt>
                <c:pt idx="797">
                  <c:v>44907</c:v>
                </c:pt>
                <c:pt idx="798">
                  <c:v>44904</c:v>
                </c:pt>
                <c:pt idx="799">
                  <c:v>44903</c:v>
                </c:pt>
                <c:pt idx="800">
                  <c:v>44902</c:v>
                </c:pt>
                <c:pt idx="801">
                  <c:v>44901</c:v>
                </c:pt>
                <c:pt idx="802">
                  <c:v>44900</c:v>
                </c:pt>
                <c:pt idx="803">
                  <c:v>44897</c:v>
                </c:pt>
                <c:pt idx="804">
                  <c:v>44896</c:v>
                </c:pt>
                <c:pt idx="805">
                  <c:v>44895</c:v>
                </c:pt>
                <c:pt idx="806">
                  <c:v>44894</c:v>
                </c:pt>
                <c:pt idx="807">
                  <c:v>44893</c:v>
                </c:pt>
                <c:pt idx="808">
                  <c:v>44890</c:v>
                </c:pt>
                <c:pt idx="809">
                  <c:v>44889</c:v>
                </c:pt>
                <c:pt idx="810">
                  <c:v>44888</c:v>
                </c:pt>
                <c:pt idx="811">
                  <c:v>44887</c:v>
                </c:pt>
                <c:pt idx="812">
                  <c:v>44886</c:v>
                </c:pt>
                <c:pt idx="813">
                  <c:v>44883</c:v>
                </c:pt>
                <c:pt idx="814">
                  <c:v>44882</c:v>
                </c:pt>
                <c:pt idx="815">
                  <c:v>44881</c:v>
                </c:pt>
                <c:pt idx="816">
                  <c:v>44880</c:v>
                </c:pt>
                <c:pt idx="817">
                  <c:v>44879</c:v>
                </c:pt>
                <c:pt idx="818">
                  <c:v>44876</c:v>
                </c:pt>
                <c:pt idx="819">
                  <c:v>44875</c:v>
                </c:pt>
                <c:pt idx="820">
                  <c:v>44874</c:v>
                </c:pt>
                <c:pt idx="821">
                  <c:v>44872</c:v>
                </c:pt>
                <c:pt idx="822">
                  <c:v>44869</c:v>
                </c:pt>
                <c:pt idx="823">
                  <c:v>44868</c:v>
                </c:pt>
                <c:pt idx="824">
                  <c:v>44867</c:v>
                </c:pt>
                <c:pt idx="825">
                  <c:v>44866</c:v>
                </c:pt>
                <c:pt idx="826">
                  <c:v>44865</c:v>
                </c:pt>
                <c:pt idx="827">
                  <c:v>44862</c:v>
                </c:pt>
                <c:pt idx="828">
                  <c:v>44861</c:v>
                </c:pt>
                <c:pt idx="829">
                  <c:v>44859</c:v>
                </c:pt>
                <c:pt idx="830">
                  <c:v>44858</c:v>
                </c:pt>
                <c:pt idx="831">
                  <c:v>44855</c:v>
                </c:pt>
                <c:pt idx="832">
                  <c:v>44854</c:v>
                </c:pt>
                <c:pt idx="833">
                  <c:v>44853</c:v>
                </c:pt>
                <c:pt idx="834">
                  <c:v>44852</c:v>
                </c:pt>
                <c:pt idx="835">
                  <c:v>44851</c:v>
                </c:pt>
                <c:pt idx="836">
                  <c:v>44848</c:v>
                </c:pt>
                <c:pt idx="837">
                  <c:v>44847</c:v>
                </c:pt>
                <c:pt idx="838">
                  <c:v>44846</c:v>
                </c:pt>
                <c:pt idx="839">
                  <c:v>44845</c:v>
                </c:pt>
                <c:pt idx="840">
                  <c:v>44844</c:v>
                </c:pt>
                <c:pt idx="841">
                  <c:v>44841</c:v>
                </c:pt>
                <c:pt idx="842">
                  <c:v>44840</c:v>
                </c:pt>
                <c:pt idx="843">
                  <c:v>44838</c:v>
                </c:pt>
                <c:pt idx="844">
                  <c:v>44837</c:v>
                </c:pt>
                <c:pt idx="845">
                  <c:v>44834</c:v>
                </c:pt>
                <c:pt idx="846">
                  <c:v>44833</c:v>
                </c:pt>
                <c:pt idx="847">
                  <c:v>44832</c:v>
                </c:pt>
                <c:pt idx="848">
                  <c:v>44831</c:v>
                </c:pt>
                <c:pt idx="849">
                  <c:v>44830</c:v>
                </c:pt>
                <c:pt idx="850">
                  <c:v>44827</c:v>
                </c:pt>
                <c:pt idx="851">
                  <c:v>44826</c:v>
                </c:pt>
                <c:pt idx="852">
                  <c:v>44825</c:v>
                </c:pt>
                <c:pt idx="853">
                  <c:v>44824</c:v>
                </c:pt>
                <c:pt idx="854">
                  <c:v>44823</c:v>
                </c:pt>
                <c:pt idx="855">
                  <c:v>44820</c:v>
                </c:pt>
                <c:pt idx="856">
                  <c:v>44819</c:v>
                </c:pt>
                <c:pt idx="857">
                  <c:v>44818</c:v>
                </c:pt>
                <c:pt idx="858">
                  <c:v>44817</c:v>
                </c:pt>
                <c:pt idx="859">
                  <c:v>44816</c:v>
                </c:pt>
                <c:pt idx="860">
                  <c:v>44813</c:v>
                </c:pt>
                <c:pt idx="861">
                  <c:v>44812</c:v>
                </c:pt>
                <c:pt idx="862">
                  <c:v>44811</c:v>
                </c:pt>
                <c:pt idx="863">
                  <c:v>44810</c:v>
                </c:pt>
                <c:pt idx="864">
                  <c:v>44809</c:v>
                </c:pt>
                <c:pt idx="865">
                  <c:v>44806</c:v>
                </c:pt>
                <c:pt idx="866">
                  <c:v>44805</c:v>
                </c:pt>
                <c:pt idx="867">
                  <c:v>44803</c:v>
                </c:pt>
                <c:pt idx="868">
                  <c:v>44802</c:v>
                </c:pt>
                <c:pt idx="869">
                  <c:v>44799</c:v>
                </c:pt>
                <c:pt idx="870">
                  <c:v>44798</c:v>
                </c:pt>
                <c:pt idx="871">
                  <c:v>44797</c:v>
                </c:pt>
                <c:pt idx="872">
                  <c:v>44796</c:v>
                </c:pt>
                <c:pt idx="873">
                  <c:v>44795</c:v>
                </c:pt>
                <c:pt idx="874">
                  <c:v>44792</c:v>
                </c:pt>
                <c:pt idx="875">
                  <c:v>44791</c:v>
                </c:pt>
                <c:pt idx="876">
                  <c:v>44790</c:v>
                </c:pt>
                <c:pt idx="877">
                  <c:v>44789</c:v>
                </c:pt>
                <c:pt idx="878">
                  <c:v>44785</c:v>
                </c:pt>
                <c:pt idx="879">
                  <c:v>44784</c:v>
                </c:pt>
                <c:pt idx="880">
                  <c:v>44783</c:v>
                </c:pt>
                <c:pt idx="881">
                  <c:v>44781</c:v>
                </c:pt>
                <c:pt idx="882">
                  <c:v>44778</c:v>
                </c:pt>
                <c:pt idx="883">
                  <c:v>44777</c:v>
                </c:pt>
                <c:pt idx="884">
                  <c:v>44776</c:v>
                </c:pt>
                <c:pt idx="885">
                  <c:v>44775</c:v>
                </c:pt>
                <c:pt idx="886">
                  <c:v>44774</c:v>
                </c:pt>
                <c:pt idx="887">
                  <c:v>44771</c:v>
                </c:pt>
                <c:pt idx="888">
                  <c:v>44770</c:v>
                </c:pt>
                <c:pt idx="889">
                  <c:v>44769</c:v>
                </c:pt>
                <c:pt idx="890">
                  <c:v>44768</c:v>
                </c:pt>
                <c:pt idx="891">
                  <c:v>44767</c:v>
                </c:pt>
                <c:pt idx="892">
                  <c:v>44764</c:v>
                </c:pt>
                <c:pt idx="893">
                  <c:v>44763</c:v>
                </c:pt>
                <c:pt idx="894">
                  <c:v>44762</c:v>
                </c:pt>
                <c:pt idx="895">
                  <c:v>44761</c:v>
                </c:pt>
                <c:pt idx="896">
                  <c:v>44760</c:v>
                </c:pt>
                <c:pt idx="897">
                  <c:v>44757</c:v>
                </c:pt>
                <c:pt idx="898">
                  <c:v>44756</c:v>
                </c:pt>
                <c:pt idx="899">
                  <c:v>44755</c:v>
                </c:pt>
                <c:pt idx="900">
                  <c:v>44754</c:v>
                </c:pt>
                <c:pt idx="901">
                  <c:v>44753</c:v>
                </c:pt>
                <c:pt idx="902">
                  <c:v>44750</c:v>
                </c:pt>
                <c:pt idx="903">
                  <c:v>44749</c:v>
                </c:pt>
                <c:pt idx="904">
                  <c:v>44748</c:v>
                </c:pt>
                <c:pt idx="905">
                  <c:v>44747</c:v>
                </c:pt>
                <c:pt idx="906">
                  <c:v>44746</c:v>
                </c:pt>
                <c:pt idx="907">
                  <c:v>44743</c:v>
                </c:pt>
                <c:pt idx="908">
                  <c:v>44742</c:v>
                </c:pt>
                <c:pt idx="909">
                  <c:v>44741</c:v>
                </c:pt>
                <c:pt idx="910">
                  <c:v>44740</c:v>
                </c:pt>
                <c:pt idx="911">
                  <c:v>44739</c:v>
                </c:pt>
                <c:pt idx="912">
                  <c:v>44736</c:v>
                </c:pt>
                <c:pt idx="913">
                  <c:v>44735</c:v>
                </c:pt>
                <c:pt idx="914">
                  <c:v>44734</c:v>
                </c:pt>
                <c:pt idx="915">
                  <c:v>44733</c:v>
                </c:pt>
                <c:pt idx="916">
                  <c:v>44732</c:v>
                </c:pt>
                <c:pt idx="917">
                  <c:v>44729</c:v>
                </c:pt>
                <c:pt idx="918">
                  <c:v>44728</c:v>
                </c:pt>
                <c:pt idx="919">
                  <c:v>44727</c:v>
                </c:pt>
                <c:pt idx="920">
                  <c:v>44726</c:v>
                </c:pt>
                <c:pt idx="921">
                  <c:v>44725</c:v>
                </c:pt>
                <c:pt idx="922">
                  <c:v>44722</c:v>
                </c:pt>
                <c:pt idx="923">
                  <c:v>44721</c:v>
                </c:pt>
                <c:pt idx="924">
                  <c:v>44720</c:v>
                </c:pt>
                <c:pt idx="925">
                  <c:v>44719</c:v>
                </c:pt>
                <c:pt idx="926">
                  <c:v>44718</c:v>
                </c:pt>
                <c:pt idx="927">
                  <c:v>44715</c:v>
                </c:pt>
                <c:pt idx="928">
                  <c:v>44714</c:v>
                </c:pt>
                <c:pt idx="929">
                  <c:v>44713</c:v>
                </c:pt>
                <c:pt idx="930">
                  <c:v>44712</c:v>
                </c:pt>
                <c:pt idx="931">
                  <c:v>44711</c:v>
                </c:pt>
                <c:pt idx="932">
                  <c:v>44708</c:v>
                </c:pt>
                <c:pt idx="933">
                  <c:v>44707</c:v>
                </c:pt>
                <c:pt idx="934">
                  <c:v>44706</c:v>
                </c:pt>
                <c:pt idx="935">
                  <c:v>44705</c:v>
                </c:pt>
                <c:pt idx="936">
                  <c:v>44704</c:v>
                </c:pt>
                <c:pt idx="937">
                  <c:v>44701</c:v>
                </c:pt>
                <c:pt idx="938">
                  <c:v>44700</c:v>
                </c:pt>
                <c:pt idx="939">
                  <c:v>44699</c:v>
                </c:pt>
                <c:pt idx="940">
                  <c:v>44698</c:v>
                </c:pt>
                <c:pt idx="941">
                  <c:v>44697</c:v>
                </c:pt>
                <c:pt idx="942">
                  <c:v>44694</c:v>
                </c:pt>
                <c:pt idx="943">
                  <c:v>44693</c:v>
                </c:pt>
                <c:pt idx="944">
                  <c:v>44692</c:v>
                </c:pt>
                <c:pt idx="945">
                  <c:v>44691</c:v>
                </c:pt>
                <c:pt idx="946">
                  <c:v>44690</c:v>
                </c:pt>
                <c:pt idx="947">
                  <c:v>44687</c:v>
                </c:pt>
                <c:pt idx="948">
                  <c:v>44686</c:v>
                </c:pt>
                <c:pt idx="949">
                  <c:v>44685</c:v>
                </c:pt>
                <c:pt idx="950">
                  <c:v>44680</c:v>
                </c:pt>
                <c:pt idx="951">
                  <c:v>44679</c:v>
                </c:pt>
                <c:pt idx="952">
                  <c:v>44678</c:v>
                </c:pt>
                <c:pt idx="953">
                  <c:v>44677</c:v>
                </c:pt>
                <c:pt idx="954">
                  <c:v>44676</c:v>
                </c:pt>
                <c:pt idx="955">
                  <c:v>44673</c:v>
                </c:pt>
                <c:pt idx="956">
                  <c:v>44672</c:v>
                </c:pt>
                <c:pt idx="957">
                  <c:v>44671</c:v>
                </c:pt>
                <c:pt idx="958">
                  <c:v>44670</c:v>
                </c:pt>
                <c:pt idx="959">
                  <c:v>44669</c:v>
                </c:pt>
                <c:pt idx="960">
                  <c:v>44664</c:v>
                </c:pt>
                <c:pt idx="961">
                  <c:v>44663</c:v>
                </c:pt>
                <c:pt idx="962">
                  <c:v>44662</c:v>
                </c:pt>
                <c:pt idx="963">
                  <c:v>44659</c:v>
                </c:pt>
                <c:pt idx="964">
                  <c:v>44658</c:v>
                </c:pt>
                <c:pt idx="965">
                  <c:v>44657</c:v>
                </c:pt>
                <c:pt idx="966">
                  <c:v>44656</c:v>
                </c:pt>
                <c:pt idx="967">
                  <c:v>44655</c:v>
                </c:pt>
                <c:pt idx="968">
                  <c:v>44652</c:v>
                </c:pt>
                <c:pt idx="969">
                  <c:v>44651</c:v>
                </c:pt>
                <c:pt idx="970">
                  <c:v>44650</c:v>
                </c:pt>
                <c:pt idx="971">
                  <c:v>44649</c:v>
                </c:pt>
                <c:pt idx="972">
                  <c:v>44648</c:v>
                </c:pt>
                <c:pt idx="973">
                  <c:v>44645</c:v>
                </c:pt>
                <c:pt idx="974">
                  <c:v>44644</c:v>
                </c:pt>
                <c:pt idx="975">
                  <c:v>44643</c:v>
                </c:pt>
                <c:pt idx="976">
                  <c:v>44642</c:v>
                </c:pt>
                <c:pt idx="977">
                  <c:v>44641</c:v>
                </c:pt>
                <c:pt idx="978">
                  <c:v>44637</c:v>
                </c:pt>
                <c:pt idx="979">
                  <c:v>44636</c:v>
                </c:pt>
                <c:pt idx="980">
                  <c:v>44635</c:v>
                </c:pt>
                <c:pt idx="981">
                  <c:v>44634</c:v>
                </c:pt>
                <c:pt idx="982">
                  <c:v>44631</c:v>
                </c:pt>
                <c:pt idx="983">
                  <c:v>44630</c:v>
                </c:pt>
                <c:pt idx="984">
                  <c:v>44629</c:v>
                </c:pt>
                <c:pt idx="985">
                  <c:v>44628</c:v>
                </c:pt>
                <c:pt idx="986">
                  <c:v>44627</c:v>
                </c:pt>
                <c:pt idx="987">
                  <c:v>44624</c:v>
                </c:pt>
                <c:pt idx="988">
                  <c:v>44623</c:v>
                </c:pt>
                <c:pt idx="989">
                  <c:v>44622</c:v>
                </c:pt>
                <c:pt idx="990">
                  <c:v>44620</c:v>
                </c:pt>
                <c:pt idx="991">
                  <c:v>44617</c:v>
                </c:pt>
                <c:pt idx="992">
                  <c:v>44616</c:v>
                </c:pt>
                <c:pt idx="993">
                  <c:v>44615</c:v>
                </c:pt>
                <c:pt idx="994">
                  <c:v>44614</c:v>
                </c:pt>
                <c:pt idx="995">
                  <c:v>44613</c:v>
                </c:pt>
                <c:pt idx="996">
                  <c:v>44610</c:v>
                </c:pt>
                <c:pt idx="997">
                  <c:v>44609</c:v>
                </c:pt>
                <c:pt idx="998">
                  <c:v>44608</c:v>
                </c:pt>
                <c:pt idx="999">
                  <c:v>44607</c:v>
                </c:pt>
                <c:pt idx="1000">
                  <c:v>44603</c:v>
                </c:pt>
                <c:pt idx="1001">
                  <c:v>44602</c:v>
                </c:pt>
                <c:pt idx="1002">
                  <c:v>44601</c:v>
                </c:pt>
                <c:pt idx="1003">
                  <c:v>44600</c:v>
                </c:pt>
                <c:pt idx="1004">
                  <c:v>44599</c:v>
                </c:pt>
                <c:pt idx="1005">
                  <c:v>44596</c:v>
                </c:pt>
                <c:pt idx="1006">
                  <c:v>44595</c:v>
                </c:pt>
                <c:pt idx="1007">
                  <c:v>44594</c:v>
                </c:pt>
                <c:pt idx="1008">
                  <c:v>44593</c:v>
                </c:pt>
                <c:pt idx="1009">
                  <c:v>44592</c:v>
                </c:pt>
                <c:pt idx="1010">
                  <c:v>44589</c:v>
                </c:pt>
                <c:pt idx="1011">
                  <c:v>44588</c:v>
                </c:pt>
                <c:pt idx="1012">
                  <c:v>44586</c:v>
                </c:pt>
                <c:pt idx="1013">
                  <c:v>44585</c:v>
                </c:pt>
                <c:pt idx="1014">
                  <c:v>44582</c:v>
                </c:pt>
                <c:pt idx="1015">
                  <c:v>44581</c:v>
                </c:pt>
                <c:pt idx="1016">
                  <c:v>44580</c:v>
                </c:pt>
                <c:pt idx="1017">
                  <c:v>44579</c:v>
                </c:pt>
                <c:pt idx="1018">
                  <c:v>44578</c:v>
                </c:pt>
                <c:pt idx="1019">
                  <c:v>44575</c:v>
                </c:pt>
                <c:pt idx="1020">
                  <c:v>44574</c:v>
                </c:pt>
                <c:pt idx="1021">
                  <c:v>44573</c:v>
                </c:pt>
                <c:pt idx="1022">
                  <c:v>44572</c:v>
                </c:pt>
                <c:pt idx="1023">
                  <c:v>44571</c:v>
                </c:pt>
                <c:pt idx="1024">
                  <c:v>44568</c:v>
                </c:pt>
                <c:pt idx="1025">
                  <c:v>44567</c:v>
                </c:pt>
                <c:pt idx="1026">
                  <c:v>44566</c:v>
                </c:pt>
                <c:pt idx="1027">
                  <c:v>44565</c:v>
                </c:pt>
                <c:pt idx="1028">
                  <c:v>44564</c:v>
                </c:pt>
                <c:pt idx="1029">
                  <c:v>44561</c:v>
                </c:pt>
                <c:pt idx="1030">
                  <c:v>44560</c:v>
                </c:pt>
                <c:pt idx="1031">
                  <c:v>44559</c:v>
                </c:pt>
                <c:pt idx="1032">
                  <c:v>44558</c:v>
                </c:pt>
                <c:pt idx="1033">
                  <c:v>44557</c:v>
                </c:pt>
                <c:pt idx="1034">
                  <c:v>44554</c:v>
                </c:pt>
                <c:pt idx="1035">
                  <c:v>44553</c:v>
                </c:pt>
                <c:pt idx="1036">
                  <c:v>44552</c:v>
                </c:pt>
                <c:pt idx="1037">
                  <c:v>44551</c:v>
                </c:pt>
                <c:pt idx="1038">
                  <c:v>44550</c:v>
                </c:pt>
                <c:pt idx="1039">
                  <c:v>44547</c:v>
                </c:pt>
                <c:pt idx="1040">
                  <c:v>44546</c:v>
                </c:pt>
                <c:pt idx="1041">
                  <c:v>44545</c:v>
                </c:pt>
                <c:pt idx="1042">
                  <c:v>44544</c:v>
                </c:pt>
                <c:pt idx="1043">
                  <c:v>44543</c:v>
                </c:pt>
                <c:pt idx="1044">
                  <c:v>44540</c:v>
                </c:pt>
                <c:pt idx="1045">
                  <c:v>44539</c:v>
                </c:pt>
                <c:pt idx="1046">
                  <c:v>44538</c:v>
                </c:pt>
                <c:pt idx="1047">
                  <c:v>44537</c:v>
                </c:pt>
                <c:pt idx="1048">
                  <c:v>44536</c:v>
                </c:pt>
                <c:pt idx="1049">
                  <c:v>44533</c:v>
                </c:pt>
                <c:pt idx="1050">
                  <c:v>44532</c:v>
                </c:pt>
                <c:pt idx="1051">
                  <c:v>44531</c:v>
                </c:pt>
                <c:pt idx="1052">
                  <c:v>44530</c:v>
                </c:pt>
                <c:pt idx="1053">
                  <c:v>44529</c:v>
                </c:pt>
                <c:pt idx="1054">
                  <c:v>44526</c:v>
                </c:pt>
                <c:pt idx="1055">
                  <c:v>44525</c:v>
                </c:pt>
                <c:pt idx="1056">
                  <c:v>44524</c:v>
                </c:pt>
                <c:pt idx="1057">
                  <c:v>44523</c:v>
                </c:pt>
                <c:pt idx="1058">
                  <c:v>44522</c:v>
                </c:pt>
                <c:pt idx="1059">
                  <c:v>44518</c:v>
                </c:pt>
                <c:pt idx="1060">
                  <c:v>44517</c:v>
                </c:pt>
                <c:pt idx="1061">
                  <c:v>44516</c:v>
                </c:pt>
                <c:pt idx="1062">
                  <c:v>44515</c:v>
                </c:pt>
                <c:pt idx="1063">
                  <c:v>44512</c:v>
                </c:pt>
                <c:pt idx="1064">
                  <c:v>44511</c:v>
                </c:pt>
                <c:pt idx="1065">
                  <c:v>44510</c:v>
                </c:pt>
                <c:pt idx="1066">
                  <c:v>44509</c:v>
                </c:pt>
                <c:pt idx="1067">
                  <c:v>44508</c:v>
                </c:pt>
                <c:pt idx="1068">
                  <c:v>44504</c:v>
                </c:pt>
                <c:pt idx="1069">
                  <c:v>44503</c:v>
                </c:pt>
                <c:pt idx="1070">
                  <c:v>44502</c:v>
                </c:pt>
                <c:pt idx="1071">
                  <c:v>44501</c:v>
                </c:pt>
                <c:pt idx="1072">
                  <c:v>44498</c:v>
                </c:pt>
                <c:pt idx="1073">
                  <c:v>44497</c:v>
                </c:pt>
                <c:pt idx="1074">
                  <c:v>44496</c:v>
                </c:pt>
                <c:pt idx="1075">
                  <c:v>44495</c:v>
                </c:pt>
                <c:pt idx="1076">
                  <c:v>44494</c:v>
                </c:pt>
                <c:pt idx="1077">
                  <c:v>44491</c:v>
                </c:pt>
                <c:pt idx="1078">
                  <c:v>44490</c:v>
                </c:pt>
                <c:pt idx="1079">
                  <c:v>44489</c:v>
                </c:pt>
                <c:pt idx="1080">
                  <c:v>44488</c:v>
                </c:pt>
                <c:pt idx="1081">
                  <c:v>44487</c:v>
                </c:pt>
                <c:pt idx="1082">
                  <c:v>44483</c:v>
                </c:pt>
                <c:pt idx="1083">
                  <c:v>44482</c:v>
                </c:pt>
                <c:pt idx="1084">
                  <c:v>44481</c:v>
                </c:pt>
                <c:pt idx="1085">
                  <c:v>44480</c:v>
                </c:pt>
                <c:pt idx="1086">
                  <c:v>44477</c:v>
                </c:pt>
                <c:pt idx="1087">
                  <c:v>44476</c:v>
                </c:pt>
                <c:pt idx="1088">
                  <c:v>44475</c:v>
                </c:pt>
                <c:pt idx="1089">
                  <c:v>44474</c:v>
                </c:pt>
                <c:pt idx="1090">
                  <c:v>44473</c:v>
                </c:pt>
                <c:pt idx="1091">
                  <c:v>44470</c:v>
                </c:pt>
                <c:pt idx="1092">
                  <c:v>44469</c:v>
                </c:pt>
                <c:pt idx="1093">
                  <c:v>44468</c:v>
                </c:pt>
                <c:pt idx="1094">
                  <c:v>44467</c:v>
                </c:pt>
                <c:pt idx="1095">
                  <c:v>44466</c:v>
                </c:pt>
                <c:pt idx="1096">
                  <c:v>44463</c:v>
                </c:pt>
                <c:pt idx="1097">
                  <c:v>44462</c:v>
                </c:pt>
                <c:pt idx="1098">
                  <c:v>44461</c:v>
                </c:pt>
                <c:pt idx="1099">
                  <c:v>44460</c:v>
                </c:pt>
                <c:pt idx="1100">
                  <c:v>44459</c:v>
                </c:pt>
                <c:pt idx="1101">
                  <c:v>44456</c:v>
                </c:pt>
                <c:pt idx="1102">
                  <c:v>44455</c:v>
                </c:pt>
                <c:pt idx="1103">
                  <c:v>44454</c:v>
                </c:pt>
                <c:pt idx="1104">
                  <c:v>44453</c:v>
                </c:pt>
                <c:pt idx="1105">
                  <c:v>44452</c:v>
                </c:pt>
                <c:pt idx="1106">
                  <c:v>44448</c:v>
                </c:pt>
                <c:pt idx="1107">
                  <c:v>44447</c:v>
                </c:pt>
                <c:pt idx="1108">
                  <c:v>44446</c:v>
                </c:pt>
                <c:pt idx="1109">
                  <c:v>44445</c:v>
                </c:pt>
                <c:pt idx="1110">
                  <c:v>44442</c:v>
                </c:pt>
                <c:pt idx="1111">
                  <c:v>44441</c:v>
                </c:pt>
                <c:pt idx="1112">
                  <c:v>44440</c:v>
                </c:pt>
                <c:pt idx="1113">
                  <c:v>44439</c:v>
                </c:pt>
                <c:pt idx="1114">
                  <c:v>44438</c:v>
                </c:pt>
                <c:pt idx="1115">
                  <c:v>44435</c:v>
                </c:pt>
                <c:pt idx="1116">
                  <c:v>44434</c:v>
                </c:pt>
                <c:pt idx="1117">
                  <c:v>44433</c:v>
                </c:pt>
                <c:pt idx="1118">
                  <c:v>44432</c:v>
                </c:pt>
                <c:pt idx="1119">
                  <c:v>44431</c:v>
                </c:pt>
                <c:pt idx="1120">
                  <c:v>44428</c:v>
                </c:pt>
                <c:pt idx="1121">
                  <c:v>44426</c:v>
                </c:pt>
                <c:pt idx="1122">
                  <c:v>44425</c:v>
                </c:pt>
                <c:pt idx="1123">
                  <c:v>44424</c:v>
                </c:pt>
                <c:pt idx="1124">
                  <c:v>44421</c:v>
                </c:pt>
                <c:pt idx="1125">
                  <c:v>44420</c:v>
                </c:pt>
                <c:pt idx="1126">
                  <c:v>44419</c:v>
                </c:pt>
                <c:pt idx="1127">
                  <c:v>44418</c:v>
                </c:pt>
                <c:pt idx="1128">
                  <c:v>44417</c:v>
                </c:pt>
                <c:pt idx="1129">
                  <c:v>44414</c:v>
                </c:pt>
                <c:pt idx="1130">
                  <c:v>44413</c:v>
                </c:pt>
                <c:pt idx="1131">
                  <c:v>44412</c:v>
                </c:pt>
                <c:pt idx="1132">
                  <c:v>44411</c:v>
                </c:pt>
                <c:pt idx="1133">
                  <c:v>44410</c:v>
                </c:pt>
                <c:pt idx="1134">
                  <c:v>44407</c:v>
                </c:pt>
                <c:pt idx="1135">
                  <c:v>44406</c:v>
                </c:pt>
                <c:pt idx="1136">
                  <c:v>44405</c:v>
                </c:pt>
                <c:pt idx="1137">
                  <c:v>44404</c:v>
                </c:pt>
                <c:pt idx="1138">
                  <c:v>44403</c:v>
                </c:pt>
                <c:pt idx="1139">
                  <c:v>44400</c:v>
                </c:pt>
                <c:pt idx="1140">
                  <c:v>44399</c:v>
                </c:pt>
                <c:pt idx="1141">
                  <c:v>44397</c:v>
                </c:pt>
                <c:pt idx="1142">
                  <c:v>44396</c:v>
                </c:pt>
                <c:pt idx="1143">
                  <c:v>44393</c:v>
                </c:pt>
                <c:pt idx="1144">
                  <c:v>44392</c:v>
                </c:pt>
                <c:pt idx="1145">
                  <c:v>44391</c:v>
                </c:pt>
                <c:pt idx="1146">
                  <c:v>44390</c:v>
                </c:pt>
                <c:pt idx="1147">
                  <c:v>44389</c:v>
                </c:pt>
                <c:pt idx="1148">
                  <c:v>44386</c:v>
                </c:pt>
                <c:pt idx="1149">
                  <c:v>44385</c:v>
                </c:pt>
                <c:pt idx="1150">
                  <c:v>44384</c:v>
                </c:pt>
                <c:pt idx="1151">
                  <c:v>44383</c:v>
                </c:pt>
                <c:pt idx="1152">
                  <c:v>44382</c:v>
                </c:pt>
                <c:pt idx="1153">
                  <c:v>44379</c:v>
                </c:pt>
                <c:pt idx="1154">
                  <c:v>44378</c:v>
                </c:pt>
                <c:pt idx="1155">
                  <c:v>44377</c:v>
                </c:pt>
                <c:pt idx="1156">
                  <c:v>44376</c:v>
                </c:pt>
                <c:pt idx="1157">
                  <c:v>44375</c:v>
                </c:pt>
                <c:pt idx="1158">
                  <c:v>44372</c:v>
                </c:pt>
                <c:pt idx="1159">
                  <c:v>44371</c:v>
                </c:pt>
                <c:pt idx="1160">
                  <c:v>44370</c:v>
                </c:pt>
                <c:pt idx="1161">
                  <c:v>44369</c:v>
                </c:pt>
                <c:pt idx="1162">
                  <c:v>44368</c:v>
                </c:pt>
                <c:pt idx="1163">
                  <c:v>44365</c:v>
                </c:pt>
                <c:pt idx="1164">
                  <c:v>44364</c:v>
                </c:pt>
                <c:pt idx="1165">
                  <c:v>44363</c:v>
                </c:pt>
                <c:pt idx="1166">
                  <c:v>44362</c:v>
                </c:pt>
                <c:pt idx="1167">
                  <c:v>44361</c:v>
                </c:pt>
                <c:pt idx="1168">
                  <c:v>44358</c:v>
                </c:pt>
                <c:pt idx="1169">
                  <c:v>44357</c:v>
                </c:pt>
                <c:pt idx="1170">
                  <c:v>44356</c:v>
                </c:pt>
                <c:pt idx="1171">
                  <c:v>44355</c:v>
                </c:pt>
                <c:pt idx="1172">
                  <c:v>44354</c:v>
                </c:pt>
                <c:pt idx="1173">
                  <c:v>44351</c:v>
                </c:pt>
                <c:pt idx="1174">
                  <c:v>44350</c:v>
                </c:pt>
                <c:pt idx="1175">
                  <c:v>44349</c:v>
                </c:pt>
                <c:pt idx="1176">
                  <c:v>44348</c:v>
                </c:pt>
                <c:pt idx="1177">
                  <c:v>44347</c:v>
                </c:pt>
                <c:pt idx="1178">
                  <c:v>44344</c:v>
                </c:pt>
                <c:pt idx="1179">
                  <c:v>44343</c:v>
                </c:pt>
                <c:pt idx="1180">
                  <c:v>44342</c:v>
                </c:pt>
                <c:pt idx="1181">
                  <c:v>44341</c:v>
                </c:pt>
                <c:pt idx="1182">
                  <c:v>44340</c:v>
                </c:pt>
                <c:pt idx="1183">
                  <c:v>44337</c:v>
                </c:pt>
                <c:pt idx="1184">
                  <c:v>44336</c:v>
                </c:pt>
                <c:pt idx="1185">
                  <c:v>44335</c:v>
                </c:pt>
                <c:pt idx="1186">
                  <c:v>44334</c:v>
                </c:pt>
                <c:pt idx="1187">
                  <c:v>44333</c:v>
                </c:pt>
                <c:pt idx="1188">
                  <c:v>44330</c:v>
                </c:pt>
                <c:pt idx="1189">
                  <c:v>44328</c:v>
                </c:pt>
                <c:pt idx="1190">
                  <c:v>44327</c:v>
                </c:pt>
                <c:pt idx="1191">
                  <c:v>44326</c:v>
                </c:pt>
                <c:pt idx="1192">
                  <c:v>44323</c:v>
                </c:pt>
                <c:pt idx="1193">
                  <c:v>44322</c:v>
                </c:pt>
                <c:pt idx="1194">
                  <c:v>44321</c:v>
                </c:pt>
                <c:pt idx="1195">
                  <c:v>44320</c:v>
                </c:pt>
                <c:pt idx="1196">
                  <c:v>44319</c:v>
                </c:pt>
                <c:pt idx="1197">
                  <c:v>44316</c:v>
                </c:pt>
                <c:pt idx="1198">
                  <c:v>44315</c:v>
                </c:pt>
                <c:pt idx="1199">
                  <c:v>44314</c:v>
                </c:pt>
                <c:pt idx="1200">
                  <c:v>44313</c:v>
                </c:pt>
                <c:pt idx="1201">
                  <c:v>44312</c:v>
                </c:pt>
                <c:pt idx="1202">
                  <c:v>44309</c:v>
                </c:pt>
                <c:pt idx="1203">
                  <c:v>44308</c:v>
                </c:pt>
                <c:pt idx="1204">
                  <c:v>44306</c:v>
                </c:pt>
                <c:pt idx="1205">
                  <c:v>44305</c:v>
                </c:pt>
                <c:pt idx="1206">
                  <c:v>44302</c:v>
                </c:pt>
                <c:pt idx="1207">
                  <c:v>44301</c:v>
                </c:pt>
                <c:pt idx="1208">
                  <c:v>44299</c:v>
                </c:pt>
                <c:pt idx="1209">
                  <c:v>44298</c:v>
                </c:pt>
                <c:pt idx="1210">
                  <c:v>44295</c:v>
                </c:pt>
                <c:pt idx="1211">
                  <c:v>44294</c:v>
                </c:pt>
                <c:pt idx="1212">
                  <c:v>44293</c:v>
                </c:pt>
                <c:pt idx="1213">
                  <c:v>44292</c:v>
                </c:pt>
                <c:pt idx="1214">
                  <c:v>44291</c:v>
                </c:pt>
              </c:numCache>
            </c:numRef>
          </c:cat>
          <c:val>
            <c:numRef>
              <c:f>Input!$E$11:$E$1225</c:f>
              <c:numCache>
                <c:formatCode>#,##0.0</c:formatCode>
                <c:ptCount val="1215"/>
                <c:pt idx="0">
                  <c:v>36989</c:v>
                </c:pt>
                <c:pt idx="1">
                  <c:v>27500</c:v>
                </c:pt>
                <c:pt idx="2">
                  <c:v>19155</c:v>
                </c:pt>
                <c:pt idx="3">
                  <c:v>22889</c:v>
                </c:pt>
                <c:pt idx="4">
                  <c:v>43366</c:v>
                </c:pt>
                <c:pt idx="5">
                  <c:v>60566</c:v>
                </c:pt>
                <c:pt idx="6">
                  <c:v>33513</c:v>
                </c:pt>
                <c:pt idx="7">
                  <c:v>61601</c:v>
                </c:pt>
                <c:pt idx="8">
                  <c:v>121957</c:v>
                </c:pt>
                <c:pt idx="9">
                  <c:v>20392</c:v>
                </c:pt>
                <c:pt idx="12">
                  <c:v>30535</c:v>
                </c:pt>
                <c:pt idx="13">
                  <c:v>25175</c:v>
                </c:pt>
                <c:pt idx="14">
                  <c:v>40288</c:v>
                </c:pt>
                <c:pt idx="15">
                  <c:v>123556</c:v>
                </c:pt>
                <c:pt idx="16">
                  <c:v>13374</c:v>
                </c:pt>
                <c:pt idx="17">
                  <c:v>22884</c:v>
                </c:pt>
                <c:pt idx="18">
                  <c:v>12820</c:v>
                </c:pt>
                <c:pt idx="19">
                  <c:v>20274</c:v>
                </c:pt>
                <c:pt idx="20">
                  <c:v>24165</c:v>
                </c:pt>
                <c:pt idx="21">
                  <c:v>27046</c:v>
                </c:pt>
                <c:pt idx="22">
                  <c:v>25537</c:v>
                </c:pt>
                <c:pt idx="23">
                  <c:v>10032</c:v>
                </c:pt>
                <c:pt idx="24">
                  <c:v>14582</c:v>
                </c:pt>
                <c:pt idx="25">
                  <c:v>2696</c:v>
                </c:pt>
                <c:pt idx="26">
                  <c:v>8521</c:v>
                </c:pt>
                <c:pt idx="27">
                  <c:v>30817</c:v>
                </c:pt>
                <c:pt idx="28">
                  <c:v>3826</c:v>
                </c:pt>
                <c:pt idx="29">
                  <c:v>8547</c:v>
                </c:pt>
                <c:pt idx="30">
                  <c:v>2710</c:v>
                </c:pt>
                <c:pt idx="31">
                  <c:v>4577</c:v>
                </c:pt>
                <c:pt idx="32">
                  <c:v>3799</c:v>
                </c:pt>
                <c:pt idx="33">
                  <c:v>5790</c:v>
                </c:pt>
                <c:pt idx="34">
                  <c:v>14051</c:v>
                </c:pt>
                <c:pt idx="35">
                  <c:v>11448</c:v>
                </c:pt>
                <c:pt idx="36">
                  <c:v>7431</c:v>
                </c:pt>
                <c:pt idx="37">
                  <c:v>28173</c:v>
                </c:pt>
                <c:pt idx="38">
                  <c:v>7254</c:v>
                </c:pt>
                <c:pt idx="39">
                  <c:v>7102</c:v>
                </c:pt>
                <c:pt idx="40">
                  <c:v>15267</c:v>
                </c:pt>
                <c:pt idx="41">
                  <c:v>11703</c:v>
                </c:pt>
                <c:pt idx="42">
                  <c:v>10837</c:v>
                </c:pt>
                <c:pt idx="43">
                  <c:v>20586</c:v>
                </c:pt>
                <c:pt idx="44">
                  <c:v>77374</c:v>
                </c:pt>
                <c:pt idx="45">
                  <c:v>35233</c:v>
                </c:pt>
                <c:pt idx="46">
                  <c:v>15308</c:v>
                </c:pt>
                <c:pt idx="47">
                  <c:v>6968</c:v>
                </c:pt>
                <c:pt idx="48">
                  <c:v>19171</c:v>
                </c:pt>
                <c:pt idx="49">
                  <c:v>18718</c:v>
                </c:pt>
                <c:pt idx="50">
                  <c:v>10021</c:v>
                </c:pt>
                <c:pt idx="51">
                  <c:v>13086</c:v>
                </c:pt>
                <c:pt idx="52">
                  <c:v>9786</c:v>
                </c:pt>
                <c:pt idx="53">
                  <c:v>5963</c:v>
                </c:pt>
                <c:pt idx="54">
                  <c:v>8332</c:v>
                </c:pt>
                <c:pt idx="55">
                  <c:v>10180</c:v>
                </c:pt>
                <c:pt idx="56">
                  <c:v>11192</c:v>
                </c:pt>
                <c:pt idx="57">
                  <c:v>18089</c:v>
                </c:pt>
                <c:pt idx="58">
                  <c:v>3964</c:v>
                </c:pt>
                <c:pt idx="59">
                  <c:v>8068</c:v>
                </c:pt>
                <c:pt idx="60">
                  <c:v>11249</c:v>
                </c:pt>
                <c:pt idx="61">
                  <c:v>8837</c:v>
                </c:pt>
                <c:pt idx="62">
                  <c:v>7495</c:v>
                </c:pt>
                <c:pt idx="63">
                  <c:v>42326</c:v>
                </c:pt>
                <c:pt idx="64">
                  <c:v>21965</c:v>
                </c:pt>
                <c:pt idx="65">
                  <c:v>5782</c:v>
                </c:pt>
                <c:pt idx="66">
                  <c:v>6426</c:v>
                </c:pt>
                <c:pt idx="67">
                  <c:v>2759</c:v>
                </c:pt>
                <c:pt idx="68">
                  <c:v>19977</c:v>
                </c:pt>
                <c:pt idx="69">
                  <c:v>3337</c:v>
                </c:pt>
                <c:pt idx="70">
                  <c:v>7886</c:v>
                </c:pt>
                <c:pt idx="71">
                  <c:v>3114</c:v>
                </c:pt>
                <c:pt idx="72">
                  <c:v>10444</c:v>
                </c:pt>
                <c:pt idx="73">
                  <c:v>14485</c:v>
                </c:pt>
                <c:pt idx="74">
                  <c:v>10948</c:v>
                </c:pt>
                <c:pt idx="75">
                  <c:v>10595</c:v>
                </c:pt>
                <c:pt idx="76">
                  <c:v>4443</c:v>
                </c:pt>
                <c:pt idx="77">
                  <c:v>2334</c:v>
                </c:pt>
                <c:pt idx="78">
                  <c:v>2393</c:v>
                </c:pt>
                <c:pt idx="79">
                  <c:v>7944</c:v>
                </c:pt>
                <c:pt idx="80">
                  <c:v>12099</c:v>
                </c:pt>
                <c:pt idx="81">
                  <c:v>5515</c:v>
                </c:pt>
                <c:pt idx="82">
                  <c:v>13481</c:v>
                </c:pt>
                <c:pt idx="83">
                  <c:v>5552</c:v>
                </c:pt>
                <c:pt idx="84">
                  <c:v>5599</c:v>
                </c:pt>
                <c:pt idx="85">
                  <c:v>12978</c:v>
                </c:pt>
                <c:pt idx="86">
                  <c:v>6639</c:v>
                </c:pt>
                <c:pt idx="87">
                  <c:v>5654</c:v>
                </c:pt>
                <c:pt idx="88">
                  <c:v>5212</c:v>
                </c:pt>
                <c:pt idx="89">
                  <c:v>12787</c:v>
                </c:pt>
                <c:pt idx="90">
                  <c:v>10354</c:v>
                </c:pt>
                <c:pt idx="91">
                  <c:v>4441</c:v>
                </c:pt>
                <c:pt idx="92">
                  <c:v>5373</c:v>
                </c:pt>
                <c:pt idx="93">
                  <c:v>4473</c:v>
                </c:pt>
                <c:pt idx="94">
                  <c:v>3639</c:v>
                </c:pt>
                <c:pt idx="95">
                  <c:v>5264</c:v>
                </c:pt>
                <c:pt idx="96">
                  <c:v>4511</c:v>
                </c:pt>
                <c:pt idx="97">
                  <c:v>4072</c:v>
                </c:pt>
                <c:pt idx="98">
                  <c:v>6230</c:v>
                </c:pt>
                <c:pt idx="99">
                  <c:v>47844</c:v>
                </c:pt>
                <c:pt idx="100">
                  <c:v>21471</c:v>
                </c:pt>
                <c:pt idx="101">
                  <c:v>22427</c:v>
                </c:pt>
                <c:pt idx="102">
                  <c:v>43728</c:v>
                </c:pt>
                <c:pt idx="103">
                  <c:v>14230</c:v>
                </c:pt>
                <c:pt idx="104">
                  <c:v>3965</c:v>
                </c:pt>
                <c:pt idx="105">
                  <c:v>5515</c:v>
                </c:pt>
                <c:pt idx="106">
                  <c:v>12377</c:v>
                </c:pt>
                <c:pt idx="107">
                  <c:v>3351</c:v>
                </c:pt>
                <c:pt idx="108">
                  <c:v>2401</c:v>
                </c:pt>
                <c:pt idx="109">
                  <c:v>23888</c:v>
                </c:pt>
                <c:pt idx="110">
                  <c:v>2729</c:v>
                </c:pt>
                <c:pt idx="111">
                  <c:v>70512</c:v>
                </c:pt>
                <c:pt idx="112">
                  <c:v>21866</c:v>
                </c:pt>
                <c:pt idx="113">
                  <c:v>25712</c:v>
                </c:pt>
                <c:pt idx="114">
                  <c:v>5329</c:v>
                </c:pt>
                <c:pt idx="115">
                  <c:v>4906</c:v>
                </c:pt>
                <c:pt idx="116">
                  <c:v>14478</c:v>
                </c:pt>
                <c:pt idx="117">
                  <c:v>6309</c:v>
                </c:pt>
                <c:pt idx="118">
                  <c:v>4182</c:v>
                </c:pt>
                <c:pt idx="119">
                  <c:v>11283</c:v>
                </c:pt>
                <c:pt idx="120">
                  <c:v>5288</c:v>
                </c:pt>
                <c:pt idx="121">
                  <c:v>18866</c:v>
                </c:pt>
                <c:pt idx="122">
                  <c:v>10486</c:v>
                </c:pt>
                <c:pt idx="123">
                  <c:v>15368</c:v>
                </c:pt>
                <c:pt idx="124">
                  <c:v>9334</c:v>
                </c:pt>
                <c:pt idx="125">
                  <c:v>14544</c:v>
                </c:pt>
                <c:pt idx="126">
                  <c:v>23723</c:v>
                </c:pt>
                <c:pt idx="127">
                  <c:v>18065</c:v>
                </c:pt>
                <c:pt idx="128">
                  <c:v>12683</c:v>
                </c:pt>
                <c:pt idx="129">
                  <c:v>28507</c:v>
                </c:pt>
                <c:pt idx="130">
                  <c:v>13200</c:v>
                </c:pt>
                <c:pt idx="131">
                  <c:v>12919</c:v>
                </c:pt>
                <c:pt idx="132">
                  <c:v>19440</c:v>
                </c:pt>
                <c:pt idx="133">
                  <c:v>32570</c:v>
                </c:pt>
                <c:pt idx="134">
                  <c:v>9448</c:v>
                </c:pt>
                <c:pt idx="135">
                  <c:v>8709</c:v>
                </c:pt>
                <c:pt idx="136">
                  <c:v>24502</c:v>
                </c:pt>
                <c:pt idx="137">
                  <c:v>26497</c:v>
                </c:pt>
                <c:pt idx="138">
                  <c:v>49205</c:v>
                </c:pt>
                <c:pt idx="139">
                  <c:v>26668</c:v>
                </c:pt>
                <c:pt idx="140">
                  <c:v>20498</c:v>
                </c:pt>
                <c:pt idx="141">
                  <c:v>11330</c:v>
                </c:pt>
                <c:pt idx="142">
                  <c:v>76497</c:v>
                </c:pt>
                <c:pt idx="143">
                  <c:v>13312</c:v>
                </c:pt>
                <c:pt idx="144">
                  <c:v>8064</c:v>
                </c:pt>
                <c:pt idx="145">
                  <c:v>6780</c:v>
                </c:pt>
                <c:pt idx="146">
                  <c:v>40660</c:v>
                </c:pt>
                <c:pt idx="147">
                  <c:v>7293</c:v>
                </c:pt>
                <c:pt idx="148">
                  <c:v>34287</c:v>
                </c:pt>
                <c:pt idx="149">
                  <c:v>8097</c:v>
                </c:pt>
                <c:pt idx="150">
                  <c:v>7756</c:v>
                </c:pt>
                <c:pt idx="151">
                  <c:v>7817</c:v>
                </c:pt>
                <c:pt idx="152">
                  <c:v>16156</c:v>
                </c:pt>
                <c:pt idx="153">
                  <c:v>27757</c:v>
                </c:pt>
                <c:pt idx="154">
                  <c:v>63175</c:v>
                </c:pt>
                <c:pt idx="155">
                  <c:v>8387</c:v>
                </c:pt>
                <c:pt idx="156">
                  <c:v>17373</c:v>
                </c:pt>
                <c:pt idx="157">
                  <c:v>9265</c:v>
                </c:pt>
                <c:pt idx="158">
                  <c:v>2134</c:v>
                </c:pt>
                <c:pt idx="159">
                  <c:v>8350</c:v>
                </c:pt>
                <c:pt idx="160">
                  <c:v>3397</c:v>
                </c:pt>
                <c:pt idx="161">
                  <c:v>8931</c:v>
                </c:pt>
                <c:pt idx="162">
                  <c:v>7555</c:v>
                </c:pt>
                <c:pt idx="163">
                  <c:v>4079</c:v>
                </c:pt>
                <c:pt idx="164">
                  <c:v>12925</c:v>
                </c:pt>
                <c:pt idx="165">
                  <c:v>8798</c:v>
                </c:pt>
                <c:pt idx="166">
                  <c:v>5752</c:v>
                </c:pt>
                <c:pt idx="167">
                  <c:v>3627</c:v>
                </c:pt>
                <c:pt idx="168">
                  <c:v>4042</c:v>
                </c:pt>
                <c:pt idx="169">
                  <c:v>4904</c:v>
                </c:pt>
                <c:pt idx="170">
                  <c:v>1445</c:v>
                </c:pt>
                <c:pt idx="171">
                  <c:v>20927</c:v>
                </c:pt>
                <c:pt idx="172">
                  <c:v>2027</c:v>
                </c:pt>
                <c:pt idx="173">
                  <c:v>4755</c:v>
                </c:pt>
                <c:pt idx="174">
                  <c:v>2853</c:v>
                </c:pt>
                <c:pt idx="175">
                  <c:v>5272</c:v>
                </c:pt>
                <c:pt idx="176">
                  <c:v>1660</c:v>
                </c:pt>
                <c:pt idx="177">
                  <c:v>7540</c:v>
                </c:pt>
                <c:pt idx="178">
                  <c:v>2764</c:v>
                </c:pt>
                <c:pt idx="179">
                  <c:v>4578</c:v>
                </c:pt>
                <c:pt idx="180">
                  <c:v>5771</c:v>
                </c:pt>
                <c:pt idx="181">
                  <c:v>4375</c:v>
                </c:pt>
                <c:pt idx="182">
                  <c:v>3544</c:v>
                </c:pt>
                <c:pt idx="183">
                  <c:v>4364</c:v>
                </c:pt>
                <c:pt idx="184">
                  <c:v>4525</c:v>
                </c:pt>
                <c:pt idx="185">
                  <c:v>14430</c:v>
                </c:pt>
                <c:pt idx="186">
                  <c:v>9413</c:v>
                </c:pt>
                <c:pt idx="187">
                  <c:v>4435</c:v>
                </c:pt>
                <c:pt idx="188">
                  <c:v>6389</c:v>
                </c:pt>
                <c:pt idx="189">
                  <c:v>2888</c:v>
                </c:pt>
                <c:pt idx="190">
                  <c:v>2813</c:v>
                </c:pt>
                <c:pt idx="191">
                  <c:v>2505</c:v>
                </c:pt>
                <c:pt idx="192">
                  <c:v>36425</c:v>
                </c:pt>
                <c:pt idx="193">
                  <c:v>6028</c:v>
                </c:pt>
                <c:pt idx="194">
                  <c:v>16524</c:v>
                </c:pt>
                <c:pt idx="195">
                  <c:v>3893</c:v>
                </c:pt>
                <c:pt idx="196">
                  <c:v>25834</c:v>
                </c:pt>
                <c:pt idx="197">
                  <c:v>5692</c:v>
                </c:pt>
                <c:pt idx="198">
                  <c:v>6922</c:v>
                </c:pt>
                <c:pt idx="199">
                  <c:v>4060</c:v>
                </c:pt>
                <c:pt idx="200">
                  <c:v>2490</c:v>
                </c:pt>
                <c:pt idx="201">
                  <c:v>6023</c:v>
                </c:pt>
                <c:pt idx="202">
                  <c:v>18602</c:v>
                </c:pt>
                <c:pt idx="203">
                  <c:v>3800</c:v>
                </c:pt>
                <c:pt idx="204">
                  <c:v>6917</c:v>
                </c:pt>
                <c:pt idx="205">
                  <c:v>6873</c:v>
                </c:pt>
                <c:pt idx="206">
                  <c:v>3455</c:v>
                </c:pt>
                <c:pt idx="207">
                  <c:v>9690</c:v>
                </c:pt>
                <c:pt idx="208">
                  <c:v>4630</c:v>
                </c:pt>
                <c:pt idx="209">
                  <c:v>2710</c:v>
                </c:pt>
                <c:pt idx="210">
                  <c:v>2534</c:v>
                </c:pt>
                <c:pt idx="211">
                  <c:v>2739</c:v>
                </c:pt>
                <c:pt idx="212">
                  <c:v>13191</c:v>
                </c:pt>
                <c:pt idx="213">
                  <c:v>2907</c:v>
                </c:pt>
                <c:pt idx="214">
                  <c:v>2526</c:v>
                </c:pt>
                <c:pt idx="215">
                  <c:v>2750</c:v>
                </c:pt>
                <c:pt idx="216">
                  <c:v>3851</c:v>
                </c:pt>
                <c:pt idx="217">
                  <c:v>5013</c:v>
                </c:pt>
                <c:pt idx="218">
                  <c:v>2297</c:v>
                </c:pt>
                <c:pt idx="219">
                  <c:v>5246</c:v>
                </c:pt>
                <c:pt idx="220">
                  <c:v>15151</c:v>
                </c:pt>
                <c:pt idx="221">
                  <c:v>5404</c:v>
                </c:pt>
                <c:pt idx="222">
                  <c:v>14259</c:v>
                </c:pt>
                <c:pt idx="223">
                  <c:v>5703</c:v>
                </c:pt>
                <c:pt idx="224">
                  <c:v>3495</c:v>
                </c:pt>
                <c:pt idx="225">
                  <c:v>6026</c:v>
                </c:pt>
                <c:pt idx="226">
                  <c:v>4311</c:v>
                </c:pt>
                <c:pt idx="227">
                  <c:v>18616</c:v>
                </c:pt>
                <c:pt idx="228">
                  <c:v>22916</c:v>
                </c:pt>
                <c:pt idx="229">
                  <c:v>34091</c:v>
                </c:pt>
                <c:pt idx="230">
                  <c:v>23059</c:v>
                </c:pt>
                <c:pt idx="231">
                  <c:v>9830</c:v>
                </c:pt>
                <c:pt idx="232">
                  <c:v>9361</c:v>
                </c:pt>
                <c:pt idx="233">
                  <c:v>20710</c:v>
                </c:pt>
                <c:pt idx="234">
                  <c:v>10076</c:v>
                </c:pt>
                <c:pt idx="235">
                  <c:v>3459</c:v>
                </c:pt>
                <c:pt idx="236">
                  <c:v>14502</c:v>
                </c:pt>
                <c:pt idx="237">
                  <c:v>18330</c:v>
                </c:pt>
                <c:pt idx="238">
                  <c:v>7187</c:v>
                </c:pt>
                <c:pt idx="239">
                  <c:v>11325</c:v>
                </c:pt>
                <c:pt idx="240">
                  <c:v>19463</c:v>
                </c:pt>
                <c:pt idx="241">
                  <c:v>6689</c:v>
                </c:pt>
                <c:pt idx="242">
                  <c:v>5250</c:v>
                </c:pt>
                <c:pt idx="243">
                  <c:v>18041</c:v>
                </c:pt>
                <c:pt idx="244">
                  <c:v>6931</c:v>
                </c:pt>
                <c:pt idx="245">
                  <c:v>3482</c:v>
                </c:pt>
                <c:pt idx="246">
                  <c:v>1377</c:v>
                </c:pt>
                <c:pt idx="247">
                  <c:v>4870</c:v>
                </c:pt>
                <c:pt idx="248">
                  <c:v>11962</c:v>
                </c:pt>
                <c:pt idx="249">
                  <c:v>7434</c:v>
                </c:pt>
                <c:pt idx="250">
                  <c:v>36575</c:v>
                </c:pt>
                <c:pt idx="251">
                  <c:v>16496</c:v>
                </c:pt>
                <c:pt idx="252">
                  <c:v>10955</c:v>
                </c:pt>
                <c:pt idx="253">
                  <c:v>24822</c:v>
                </c:pt>
                <c:pt idx="254">
                  <c:v>27402</c:v>
                </c:pt>
                <c:pt idx="255">
                  <c:v>11683</c:v>
                </c:pt>
                <c:pt idx="256">
                  <c:v>12478</c:v>
                </c:pt>
                <c:pt idx="257">
                  <c:v>10028</c:v>
                </c:pt>
                <c:pt idx="258">
                  <c:v>8181</c:v>
                </c:pt>
                <c:pt idx="259">
                  <c:v>7650</c:v>
                </c:pt>
                <c:pt idx="260">
                  <c:v>24135</c:v>
                </c:pt>
                <c:pt idx="261">
                  <c:v>6933</c:v>
                </c:pt>
                <c:pt idx="262">
                  <c:v>3485</c:v>
                </c:pt>
                <c:pt idx="263">
                  <c:v>3725</c:v>
                </c:pt>
                <c:pt idx="264">
                  <c:v>3841</c:v>
                </c:pt>
                <c:pt idx="265">
                  <c:v>4441</c:v>
                </c:pt>
                <c:pt idx="266">
                  <c:v>4475</c:v>
                </c:pt>
                <c:pt idx="267">
                  <c:v>6575</c:v>
                </c:pt>
                <c:pt idx="268">
                  <c:v>12480</c:v>
                </c:pt>
                <c:pt idx="269">
                  <c:v>3613</c:v>
                </c:pt>
                <c:pt idx="270">
                  <c:v>14222</c:v>
                </c:pt>
                <c:pt idx="271">
                  <c:v>4447</c:v>
                </c:pt>
                <c:pt idx="272">
                  <c:v>8370</c:v>
                </c:pt>
                <c:pt idx="273">
                  <c:v>6629</c:v>
                </c:pt>
                <c:pt idx="274">
                  <c:v>6406</c:v>
                </c:pt>
                <c:pt idx="275">
                  <c:v>3219</c:v>
                </c:pt>
                <c:pt idx="276">
                  <c:v>9224</c:v>
                </c:pt>
                <c:pt idx="277">
                  <c:v>7380</c:v>
                </c:pt>
                <c:pt idx="278">
                  <c:v>3897</c:v>
                </c:pt>
                <c:pt idx="279">
                  <c:v>129572</c:v>
                </c:pt>
                <c:pt idx="280">
                  <c:v>20258</c:v>
                </c:pt>
                <c:pt idx="281">
                  <c:v>8124</c:v>
                </c:pt>
                <c:pt idx="282">
                  <c:v>4277</c:v>
                </c:pt>
                <c:pt idx="283">
                  <c:v>5872</c:v>
                </c:pt>
                <c:pt idx="284">
                  <c:v>6862</c:v>
                </c:pt>
                <c:pt idx="285">
                  <c:v>23170</c:v>
                </c:pt>
                <c:pt idx="286">
                  <c:v>23150</c:v>
                </c:pt>
                <c:pt idx="287">
                  <c:v>25092</c:v>
                </c:pt>
                <c:pt idx="288">
                  <c:v>9941</c:v>
                </c:pt>
                <c:pt idx="289">
                  <c:v>10373</c:v>
                </c:pt>
                <c:pt idx="290">
                  <c:v>18936</c:v>
                </c:pt>
                <c:pt idx="291">
                  <c:v>19812</c:v>
                </c:pt>
                <c:pt idx="292">
                  <c:v>5921</c:v>
                </c:pt>
                <c:pt idx="293">
                  <c:v>10040</c:v>
                </c:pt>
                <c:pt idx="294">
                  <c:v>7078</c:v>
                </c:pt>
                <c:pt idx="295">
                  <c:v>2814</c:v>
                </c:pt>
                <c:pt idx="296">
                  <c:v>24696</c:v>
                </c:pt>
                <c:pt idx="297">
                  <c:v>12700</c:v>
                </c:pt>
                <c:pt idx="298">
                  <c:v>11272</c:v>
                </c:pt>
                <c:pt idx="299">
                  <c:v>4525</c:v>
                </c:pt>
                <c:pt idx="300">
                  <c:v>12481</c:v>
                </c:pt>
                <c:pt idx="301">
                  <c:v>21412</c:v>
                </c:pt>
                <c:pt idx="302">
                  <c:v>50193</c:v>
                </c:pt>
                <c:pt idx="303">
                  <c:v>10140</c:v>
                </c:pt>
                <c:pt idx="304">
                  <c:v>3639</c:v>
                </c:pt>
                <c:pt idx="305">
                  <c:v>6865</c:v>
                </c:pt>
                <c:pt idx="306">
                  <c:v>7267</c:v>
                </c:pt>
                <c:pt idx="307">
                  <c:v>23876</c:v>
                </c:pt>
                <c:pt idx="308">
                  <c:v>15842</c:v>
                </c:pt>
                <c:pt idx="309">
                  <c:v>36140</c:v>
                </c:pt>
                <c:pt idx="310">
                  <c:v>13844</c:v>
                </c:pt>
                <c:pt idx="311">
                  <c:v>5935</c:v>
                </c:pt>
                <c:pt idx="312">
                  <c:v>5297</c:v>
                </c:pt>
                <c:pt idx="313">
                  <c:v>6695</c:v>
                </c:pt>
                <c:pt idx="314">
                  <c:v>5402</c:v>
                </c:pt>
                <c:pt idx="315">
                  <c:v>8041</c:v>
                </c:pt>
                <c:pt idx="316">
                  <c:v>26391</c:v>
                </c:pt>
                <c:pt idx="317">
                  <c:v>7032</c:v>
                </c:pt>
                <c:pt idx="318">
                  <c:v>13158</c:v>
                </c:pt>
                <c:pt idx="319">
                  <c:v>7527</c:v>
                </c:pt>
                <c:pt idx="320">
                  <c:v>12851</c:v>
                </c:pt>
                <c:pt idx="321">
                  <c:v>18049</c:v>
                </c:pt>
                <c:pt idx="322">
                  <c:v>8025</c:v>
                </c:pt>
                <c:pt idx="323">
                  <c:v>26159</c:v>
                </c:pt>
                <c:pt idx="324">
                  <c:v>6547</c:v>
                </c:pt>
                <c:pt idx="325">
                  <c:v>4828</c:v>
                </c:pt>
                <c:pt idx="326">
                  <c:v>9743</c:v>
                </c:pt>
                <c:pt idx="327">
                  <c:v>19427</c:v>
                </c:pt>
                <c:pt idx="328">
                  <c:v>16643</c:v>
                </c:pt>
                <c:pt idx="329">
                  <c:v>9041</c:v>
                </c:pt>
                <c:pt idx="330">
                  <c:v>7074</c:v>
                </c:pt>
                <c:pt idx="331">
                  <c:v>16609</c:v>
                </c:pt>
                <c:pt idx="332">
                  <c:v>14999</c:v>
                </c:pt>
                <c:pt idx="333">
                  <c:v>25058</c:v>
                </c:pt>
                <c:pt idx="334">
                  <c:v>13562</c:v>
                </c:pt>
                <c:pt idx="335">
                  <c:v>6479</c:v>
                </c:pt>
                <c:pt idx="336">
                  <c:v>12946</c:v>
                </c:pt>
                <c:pt idx="337">
                  <c:v>11123</c:v>
                </c:pt>
                <c:pt idx="338">
                  <c:v>34535</c:v>
                </c:pt>
                <c:pt idx="339">
                  <c:v>31518</c:v>
                </c:pt>
                <c:pt idx="340">
                  <c:v>5568</c:v>
                </c:pt>
                <c:pt idx="341">
                  <c:v>13590</c:v>
                </c:pt>
                <c:pt idx="342">
                  <c:v>25539</c:v>
                </c:pt>
                <c:pt idx="343">
                  <c:v>16454</c:v>
                </c:pt>
                <c:pt idx="344">
                  <c:v>36837</c:v>
                </c:pt>
                <c:pt idx="345">
                  <c:v>9354</c:v>
                </c:pt>
                <c:pt idx="346">
                  <c:v>8680</c:v>
                </c:pt>
                <c:pt idx="347">
                  <c:v>11232</c:v>
                </c:pt>
                <c:pt idx="348">
                  <c:v>19865</c:v>
                </c:pt>
                <c:pt idx="349">
                  <c:v>3255</c:v>
                </c:pt>
                <c:pt idx="350">
                  <c:v>27523</c:v>
                </c:pt>
                <c:pt idx="351">
                  <c:v>55744</c:v>
                </c:pt>
                <c:pt idx="352">
                  <c:v>8347</c:v>
                </c:pt>
                <c:pt idx="353">
                  <c:v>30142</c:v>
                </c:pt>
                <c:pt idx="354">
                  <c:v>30640</c:v>
                </c:pt>
                <c:pt idx="355">
                  <c:v>20388</c:v>
                </c:pt>
                <c:pt idx="356">
                  <c:v>28567</c:v>
                </c:pt>
                <c:pt idx="357">
                  <c:v>13011</c:v>
                </c:pt>
                <c:pt idx="358">
                  <c:v>41492</c:v>
                </c:pt>
                <c:pt idx="359">
                  <c:v>35170</c:v>
                </c:pt>
                <c:pt idx="360">
                  <c:v>24650</c:v>
                </c:pt>
                <c:pt idx="361">
                  <c:v>23245</c:v>
                </c:pt>
                <c:pt idx="362">
                  <c:v>41565</c:v>
                </c:pt>
                <c:pt idx="363">
                  <c:v>15846</c:v>
                </c:pt>
                <c:pt idx="364">
                  <c:v>5254</c:v>
                </c:pt>
                <c:pt idx="365">
                  <c:v>18431</c:v>
                </c:pt>
                <c:pt idx="366">
                  <c:v>7208</c:v>
                </c:pt>
                <c:pt idx="367">
                  <c:v>9485</c:v>
                </c:pt>
                <c:pt idx="368">
                  <c:v>30317</c:v>
                </c:pt>
                <c:pt idx="369">
                  <c:v>20574</c:v>
                </c:pt>
                <c:pt idx="370">
                  <c:v>7606</c:v>
                </c:pt>
                <c:pt idx="371">
                  <c:v>13610</c:v>
                </c:pt>
                <c:pt idx="372">
                  <c:v>25239</c:v>
                </c:pt>
                <c:pt idx="373">
                  <c:v>32282</c:v>
                </c:pt>
                <c:pt idx="374">
                  <c:v>6942</c:v>
                </c:pt>
                <c:pt idx="375">
                  <c:v>20668</c:v>
                </c:pt>
                <c:pt idx="376">
                  <c:v>8018</c:v>
                </c:pt>
                <c:pt idx="377">
                  <c:v>53188</c:v>
                </c:pt>
                <c:pt idx="378">
                  <c:v>13074</c:v>
                </c:pt>
                <c:pt idx="379">
                  <c:v>5026</c:v>
                </c:pt>
                <c:pt idx="380">
                  <c:v>32844</c:v>
                </c:pt>
                <c:pt idx="381">
                  <c:v>18075</c:v>
                </c:pt>
                <c:pt idx="382">
                  <c:v>8483</c:v>
                </c:pt>
                <c:pt idx="383">
                  <c:v>10041</c:v>
                </c:pt>
                <c:pt idx="384">
                  <c:v>8735</c:v>
                </c:pt>
                <c:pt idx="385">
                  <c:v>16472</c:v>
                </c:pt>
                <c:pt idx="386">
                  <c:v>10467</c:v>
                </c:pt>
                <c:pt idx="387">
                  <c:v>35374</c:v>
                </c:pt>
                <c:pt idx="388">
                  <c:v>3295</c:v>
                </c:pt>
                <c:pt idx="389">
                  <c:v>22537</c:v>
                </c:pt>
                <c:pt idx="390">
                  <c:v>30934</c:v>
                </c:pt>
                <c:pt idx="391">
                  <c:v>16719</c:v>
                </c:pt>
                <c:pt idx="392">
                  <c:v>66159</c:v>
                </c:pt>
                <c:pt idx="393">
                  <c:v>23564</c:v>
                </c:pt>
                <c:pt idx="394">
                  <c:v>20473</c:v>
                </c:pt>
                <c:pt idx="395">
                  <c:v>5345</c:v>
                </c:pt>
                <c:pt idx="396">
                  <c:v>39083</c:v>
                </c:pt>
                <c:pt idx="397">
                  <c:v>14344</c:v>
                </c:pt>
                <c:pt idx="398">
                  <c:v>8917</c:v>
                </c:pt>
                <c:pt idx="399">
                  <c:v>5511</c:v>
                </c:pt>
                <c:pt idx="400">
                  <c:v>8055</c:v>
                </c:pt>
                <c:pt idx="401">
                  <c:v>34503</c:v>
                </c:pt>
                <c:pt idx="402">
                  <c:v>4192</c:v>
                </c:pt>
                <c:pt idx="403">
                  <c:v>19551</c:v>
                </c:pt>
                <c:pt idx="404">
                  <c:v>10103</c:v>
                </c:pt>
                <c:pt idx="405">
                  <c:v>23074</c:v>
                </c:pt>
                <c:pt idx="406">
                  <c:v>10592</c:v>
                </c:pt>
                <c:pt idx="407">
                  <c:v>8146</c:v>
                </c:pt>
                <c:pt idx="408">
                  <c:v>14713</c:v>
                </c:pt>
                <c:pt idx="409">
                  <c:v>45762</c:v>
                </c:pt>
                <c:pt idx="410">
                  <c:v>73308</c:v>
                </c:pt>
                <c:pt idx="411">
                  <c:v>69032</c:v>
                </c:pt>
                <c:pt idx="412">
                  <c:v>50343</c:v>
                </c:pt>
                <c:pt idx="413">
                  <c:v>11609</c:v>
                </c:pt>
                <c:pt idx="414">
                  <c:v>14871</c:v>
                </c:pt>
                <c:pt idx="415">
                  <c:v>20744</c:v>
                </c:pt>
                <c:pt idx="416">
                  <c:v>17204</c:v>
                </c:pt>
                <c:pt idx="417">
                  <c:v>4751</c:v>
                </c:pt>
                <c:pt idx="418">
                  <c:v>12022</c:v>
                </c:pt>
                <c:pt idx="419">
                  <c:v>4665</c:v>
                </c:pt>
                <c:pt idx="420">
                  <c:v>36579</c:v>
                </c:pt>
                <c:pt idx="421">
                  <c:v>14769</c:v>
                </c:pt>
                <c:pt idx="422">
                  <c:v>5365</c:v>
                </c:pt>
                <c:pt idx="423">
                  <c:v>7802</c:v>
                </c:pt>
                <c:pt idx="424">
                  <c:v>48531</c:v>
                </c:pt>
                <c:pt idx="425">
                  <c:v>17754</c:v>
                </c:pt>
                <c:pt idx="426">
                  <c:v>60150</c:v>
                </c:pt>
                <c:pt idx="427">
                  <c:v>115604</c:v>
                </c:pt>
                <c:pt idx="428">
                  <c:v>16789</c:v>
                </c:pt>
                <c:pt idx="429">
                  <c:v>19704</c:v>
                </c:pt>
                <c:pt idx="430">
                  <c:v>6328</c:v>
                </c:pt>
                <c:pt idx="431">
                  <c:v>18721</c:v>
                </c:pt>
                <c:pt idx="432">
                  <c:v>12001</c:v>
                </c:pt>
                <c:pt idx="433">
                  <c:v>29082</c:v>
                </c:pt>
                <c:pt idx="434">
                  <c:v>58822</c:v>
                </c:pt>
                <c:pt idx="435">
                  <c:v>35606</c:v>
                </c:pt>
                <c:pt idx="436">
                  <c:v>6333</c:v>
                </c:pt>
                <c:pt idx="437">
                  <c:v>16421</c:v>
                </c:pt>
                <c:pt idx="438">
                  <c:v>7317</c:v>
                </c:pt>
                <c:pt idx="439">
                  <c:v>39087</c:v>
                </c:pt>
                <c:pt idx="440">
                  <c:v>13390</c:v>
                </c:pt>
                <c:pt idx="441">
                  <c:v>22005</c:v>
                </c:pt>
                <c:pt idx="442">
                  <c:v>16731</c:v>
                </c:pt>
                <c:pt idx="443">
                  <c:v>9126</c:v>
                </c:pt>
                <c:pt idx="444">
                  <c:v>4944</c:v>
                </c:pt>
                <c:pt idx="445">
                  <c:v>4060</c:v>
                </c:pt>
                <c:pt idx="446">
                  <c:v>6670</c:v>
                </c:pt>
                <c:pt idx="447">
                  <c:v>9418</c:v>
                </c:pt>
                <c:pt idx="448">
                  <c:v>34274</c:v>
                </c:pt>
                <c:pt idx="449">
                  <c:v>9534</c:v>
                </c:pt>
                <c:pt idx="450">
                  <c:v>7189</c:v>
                </c:pt>
                <c:pt idx="451">
                  <c:v>24609</c:v>
                </c:pt>
                <c:pt idx="452">
                  <c:v>5571</c:v>
                </c:pt>
                <c:pt idx="453">
                  <c:v>26716</c:v>
                </c:pt>
                <c:pt idx="454">
                  <c:v>4068</c:v>
                </c:pt>
                <c:pt idx="455">
                  <c:v>10885</c:v>
                </c:pt>
                <c:pt idx="456">
                  <c:v>2907</c:v>
                </c:pt>
                <c:pt idx="457">
                  <c:v>3622</c:v>
                </c:pt>
                <c:pt idx="458">
                  <c:v>13914</c:v>
                </c:pt>
                <c:pt idx="459">
                  <c:v>22031</c:v>
                </c:pt>
                <c:pt idx="460">
                  <c:v>6043</c:v>
                </c:pt>
                <c:pt idx="461">
                  <c:v>27197</c:v>
                </c:pt>
                <c:pt idx="462">
                  <c:v>15564</c:v>
                </c:pt>
                <c:pt idx="463">
                  <c:v>15271</c:v>
                </c:pt>
                <c:pt idx="464">
                  <c:v>6460</c:v>
                </c:pt>
                <c:pt idx="465">
                  <c:v>4801</c:v>
                </c:pt>
                <c:pt idx="466">
                  <c:v>6965</c:v>
                </c:pt>
                <c:pt idx="467">
                  <c:v>14602</c:v>
                </c:pt>
                <c:pt idx="468">
                  <c:v>7083</c:v>
                </c:pt>
                <c:pt idx="469">
                  <c:v>12111</c:v>
                </c:pt>
                <c:pt idx="470">
                  <c:v>4456</c:v>
                </c:pt>
                <c:pt idx="471">
                  <c:v>8735</c:v>
                </c:pt>
                <c:pt idx="472">
                  <c:v>12675</c:v>
                </c:pt>
                <c:pt idx="473">
                  <c:v>13127</c:v>
                </c:pt>
                <c:pt idx="474">
                  <c:v>16916</c:v>
                </c:pt>
                <c:pt idx="475">
                  <c:v>11065</c:v>
                </c:pt>
                <c:pt idx="476">
                  <c:v>23900</c:v>
                </c:pt>
                <c:pt idx="477">
                  <c:v>8391</c:v>
                </c:pt>
                <c:pt idx="478">
                  <c:v>4298</c:v>
                </c:pt>
                <c:pt idx="479">
                  <c:v>7898</c:v>
                </c:pt>
                <c:pt idx="480">
                  <c:v>8568</c:v>
                </c:pt>
                <c:pt idx="481">
                  <c:v>23210</c:v>
                </c:pt>
                <c:pt idx="482">
                  <c:v>15915</c:v>
                </c:pt>
                <c:pt idx="483">
                  <c:v>12940</c:v>
                </c:pt>
                <c:pt idx="484">
                  <c:v>16247</c:v>
                </c:pt>
                <c:pt idx="485">
                  <c:v>32580</c:v>
                </c:pt>
                <c:pt idx="486">
                  <c:v>14496</c:v>
                </c:pt>
                <c:pt idx="487">
                  <c:v>5796</c:v>
                </c:pt>
                <c:pt idx="488">
                  <c:v>19521</c:v>
                </c:pt>
                <c:pt idx="489">
                  <c:v>20255</c:v>
                </c:pt>
                <c:pt idx="490">
                  <c:v>9713</c:v>
                </c:pt>
                <c:pt idx="491">
                  <c:v>5378</c:v>
                </c:pt>
                <c:pt idx="492">
                  <c:v>9677</c:v>
                </c:pt>
                <c:pt idx="493">
                  <c:v>8687</c:v>
                </c:pt>
                <c:pt idx="494">
                  <c:v>16926</c:v>
                </c:pt>
                <c:pt idx="495">
                  <c:v>16695</c:v>
                </c:pt>
                <c:pt idx="496">
                  <c:v>40760</c:v>
                </c:pt>
                <c:pt idx="497">
                  <c:v>26854</c:v>
                </c:pt>
                <c:pt idx="498">
                  <c:v>12121</c:v>
                </c:pt>
                <c:pt idx="499">
                  <c:v>25643</c:v>
                </c:pt>
                <c:pt idx="500">
                  <c:v>12661</c:v>
                </c:pt>
                <c:pt idx="501">
                  <c:v>13351</c:v>
                </c:pt>
                <c:pt idx="502">
                  <c:v>15118</c:v>
                </c:pt>
                <c:pt idx="503">
                  <c:v>29491</c:v>
                </c:pt>
                <c:pt idx="504">
                  <c:v>19370</c:v>
                </c:pt>
                <c:pt idx="505">
                  <c:v>5029</c:v>
                </c:pt>
                <c:pt idx="506">
                  <c:v>3466</c:v>
                </c:pt>
                <c:pt idx="507">
                  <c:v>15465</c:v>
                </c:pt>
                <c:pt idx="508">
                  <c:v>12333</c:v>
                </c:pt>
                <c:pt idx="509">
                  <c:v>12631</c:v>
                </c:pt>
                <c:pt idx="510">
                  <c:v>4611</c:v>
                </c:pt>
                <c:pt idx="511">
                  <c:v>17496</c:v>
                </c:pt>
                <c:pt idx="512">
                  <c:v>16749</c:v>
                </c:pt>
                <c:pt idx="513">
                  <c:v>10630</c:v>
                </c:pt>
                <c:pt idx="514">
                  <c:v>2658</c:v>
                </c:pt>
                <c:pt idx="515">
                  <c:v>3944</c:v>
                </c:pt>
                <c:pt idx="516">
                  <c:v>20610</c:v>
                </c:pt>
                <c:pt idx="517">
                  <c:v>12499</c:v>
                </c:pt>
                <c:pt idx="518">
                  <c:v>3268</c:v>
                </c:pt>
                <c:pt idx="519">
                  <c:v>7665</c:v>
                </c:pt>
                <c:pt idx="520">
                  <c:v>7601</c:v>
                </c:pt>
                <c:pt idx="521">
                  <c:v>25455</c:v>
                </c:pt>
                <c:pt idx="522">
                  <c:v>5592</c:v>
                </c:pt>
                <c:pt idx="523">
                  <c:v>10936</c:v>
                </c:pt>
                <c:pt idx="524">
                  <c:v>3664</c:v>
                </c:pt>
                <c:pt idx="525">
                  <c:v>3035</c:v>
                </c:pt>
                <c:pt idx="526">
                  <c:v>22592</c:v>
                </c:pt>
                <c:pt idx="527">
                  <c:v>6446</c:v>
                </c:pt>
                <c:pt idx="528">
                  <c:v>19263</c:v>
                </c:pt>
                <c:pt idx="529">
                  <c:v>18016</c:v>
                </c:pt>
                <c:pt idx="530">
                  <c:v>6529</c:v>
                </c:pt>
                <c:pt idx="531">
                  <c:v>20835</c:v>
                </c:pt>
                <c:pt idx="532">
                  <c:v>38076</c:v>
                </c:pt>
                <c:pt idx="533">
                  <c:v>26155</c:v>
                </c:pt>
                <c:pt idx="534">
                  <c:v>12797</c:v>
                </c:pt>
                <c:pt idx="535">
                  <c:v>12106</c:v>
                </c:pt>
                <c:pt idx="536">
                  <c:v>48424</c:v>
                </c:pt>
                <c:pt idx="537">
                  <c:v>14411</c:v>
                </c:pt>
                <c:pt idx="538">
                  <c:v>24535</c:v>
                </c:pt>
                <c:pt idx="539">
                  <c:v>26867</c:v>
                </c:pt>
                <c:pt idx="540">
                  <c:v>15551</c:v>
                </c:pt>
                <c:pt idx="541">
                  <c:v>27783</c:v>
                </c:pt>
                <c:pt idx="542">
                  <c:v>5153</c:v>
                </c:pt>
                <c:pt idx="543">
                  <c:v>156791</c:v>
                </c:pt>
                <c:pt idx="544">
                  <c:v>27766</c:v>
                </c:pt>
                <c:pt idx="545">
                  <c:v>20910</c:v>
                </c:pt>
                <c:pt idx="546">
                  <c:v>25518</c:v>
                </c:pt>
                <c:pt idx="547">
                  <c:v>15007</c:v>
                </c:pt>
                <c:pt idx="548">
                  <c:v>16795</c:v>
                </c:pt>
                <c:pt idx="549">
                  <c:v>7921</c:v>
                </c:pt>
                <c:pt idx="550">
                  <c:v>18740</c:v>
                </c:pt>
                <c:pt idx="551">
                  <c:v>5248</c:v>
                </c:pt>
                <c:pt idx="552">
                  <c:v>4551</c:v>
                </c:pt>
                <c:pt idx="553">
                  <c:v>196770</c:v>
                </c:pt>
                <c:pt idx="554">
                  <c:v>9738</c:v>
                </c:pt>
                <c:pt idx="555">
                  <c:v>27262</c:v>
                </c:pt>
                <c:pt idx="556">
                  <c:v>8687</c:v>
                </c:pt>
                <c:pt idx="557">
                  <c:v>29909</c:v>
                </c:pt>
                <c:pt idx="558">
                  <c:v>20304</c:v>
                </c:pt>
                <c:pt idx="559">
                  <c:v>32631</c:v>
                </c:pt>
                <c:pt idx="560">
                  <c:v>62540</c:v>
                </c:pt>
                <c:pt idx="561">
                  <c:v>18124</c:v>
                </c:pt>
                <c:pt idx="562">
                  <c:v>42251</c:v>
                </c:pt>
                <c:pt idx="563">
                  <c:v>39303</c:v>
                </c:pt>
                <c:pt idx="564">
                  <c:v>14221</c:v>
                </c:pt>
                <c:pt idx="565">
                  <c:v>66714</c:v>
                </c:pt>
                <c:pt idx="566">
                  <c:v>26951</c:v>
                </c:pt>
                <c:pt idx="567">
                  <c:v>26793</c:v>
                </c:pt>
                <c:pt idx="568">
                  <c:v>12878</c:v>
                </c:pt>
                <c:pt idx="569">
                  <c:v>5606</c:v>
                </c:pt>
                <c:pt idx="570">
                  <c:v>10422</c:v>
                </c:pt>
                <c:pt idx="571">
                  <c:v>16483</c:v>
                </c:pt>
                <c:pt idx="572">
                  <c:v>24771</c:v>
                </c:pt>
                <c:pt idx="573">
                  <c:v>3854</c:v>
                </c:pt>
                <c:pt idx="574">
                  <c:v>3869</c:v>
                </c:pt>
                <c:pt idx="575">
                  <c:v>4304</c:v>
                </c:pt>
                <c:pt idx="576">
                  <c:v>19608</c:v>
                </c:pt>
                <c:pt idx="577">
                  <c:v>10679</c:v>
                </c:pt>
                <c:pt idx="578">
                  <c:v>2193</c:v>
                </c:pt>
                <c:pt idx="579">
                  <c:v>2923</c:v>
                </c:pt>
                <c:pt idx="580">
                  <c:v>5115</c:v>
                </c:pt>
                <c:pt idx="581">
                  <c:v>27463</c:v>
                </c:pt>
                <c:pt idx="582">
                  <c:v>25241</c:v>
                </c:pt>
                <c:pt idx="583">
                  <c:v>2770</c:v>
                </c:pt>
                <c:pt idx="584">
                  <c:v>1565</c:v>
                </c:pt>
                <c:pt idx="585">
                  <c:v>9622</c:v>
                </c:pt>
                <c:pt idx="586">
                  <c:v>3871</c:v>
                </c:pt>
                <c:pt idx="587">
                  <c:v>3573</c:v>
                </c:pt>
                <c:pt idx="588">
                  <c:v>4848</c:v>
                </c:pt>
                <c:pt idx="589">
                  <c:v>4856</c:v>
                </c:pt>
                <c:pt idx="590">
                  <c:v>32163</c:v>
                </c:pt>
                <c:pt idx="591">
                  <c:v>4409</c:v>
                </c:pt>
                <c:pt idx="592">
                  <c:v>10623</c:v>
                </c:pt>
                <c:pt idx="593">
                  <c:v>5038</c:v>
                </c:pt>
                <c:pt idx="594">
                  <c:v>11591</c:v>
                </c:pt>
                <c:pt idx="595">
                  <c:v>49666</c:v>
                </c:pt>
                <c:pt idx="596">
                  <c:v>41482</c:v>
                </c:pt>
                <c:pt idx="597">
                  <c:v>6396</c:v>
                </c:pt>
                <c:pt idx="598">
                  <c:v>6945</c:v>
                </c:pt>
                <c:pt idx="599">
                  <c:v>4987</c:v>
                </c:pt>
                <c:pt idx="600">
                  <c:v>64202</c:v>
                </c:pt>
                <c:pt idx="601">
                  <c:v>7790</c:v>
                </c:pt>
                <c:pt idx="602">
                  <c:v>15185</c:v>
                </c:pt>
                <c:pt idx="603">
                  <c:v>7031</c:v>
                </c:pt>
                <c:pt idx="604">
                  <c:v>15564</c:v>
                </c:pt>
                <c:pt idx="605">
                  <c:v>70709</c:v>
                </c:pt>
                <c:pt idx="606">
                  <c:v>131747</c:v>
                </c:pt>
                <c:pt idx="607">
                  <c:v>5322</c:v>
                </c:pt>
                <c:pt idx="608">
                  <c:v>3265</c:v>
                </c:pt>
                <c:pt idx="609">
                  <c:v>6122</c:v>
                </c:pt>
                <c:pt idx="610">
                  <c:v>6627</c:v>
                </c:pt>
                <c:pt idx="611">
                  <c:v>7860</c:v>
                </c:pt>
                <c:pt idx="612">
                  <c:v>22896</c:v>
                </c:pt>
                <c:pt idx="613">
                  <c:v>8698</c:v>
                </c:pt>
                <c:pt idx="614">
                  <c:v>3056</c:v>
                </c:pt>
                <c:pt idx="615">
                  <c:v>33199</c:v>
                </c:pt>
                <c:pt idx="616">
                  <c:v>65408</c:v>
                </c:pt>
                <c:pt idx="617">
                  <c:v>21249</c:v>
                </c:pt>
                <c:pt idx="618">
                  <c:v>20997</c:v>
                </c:pt>
                <c:pt idx="619">
                  <c:v>15720</c:v>
                </c:pt>
                <c:pt idx="620">
                  <c:v>8505</c:v>
                </c:pt>
                <c:pt idx="621">
                  <c:v>15726</c:v>
                </c:pt>
                <c:pt idx="622">
                  <c:v>5627</c:v>
                </c:pt>
                <c:pt idx="623">
                  <c:v>8941</c:v>
                </c:pt>
                <c:pt idx="624">
                  <c:v>2872</c:v>
                </c:pt>
                <c:pt idx="625">
                  <c:v>15693</c:v>
                </c:pt>
                <c:pt idx="626">
                  <c:v>27433</c:v>
                </c:pt>
                <c:pt idx="627">
                  <c:v>9088</c:v>
                </c:pt>
                <c:pt idx="628">
                  <c:v>15432</c:v>
                </c:pt>
                <c:pt idx="629">
                  <c:v>18486</c:v>
                </c:pt>
                <c:pt idx="630">
                  <c:v>6959</c:v>
                </c:pt>
                <c:pt idx="631">
                  <c:v>46337</c:v>
                </c:pt>
                <c:pt idx="632">
                  <c:v>76845</c:v>
                </c:pt>
                <c:pt idx="633">
                  <c:v>38906</c:v>
                </c:pt>
                <c:pt idx="634">
                  <c:v>25623</c:v>
                </c:pt>
                <c:pt idx="635">
                  <c:v>7405</c:v>
                </c:pt>
                <c:pt idx="636">
                  <c:v>17273</c:v>
                </c:pt>
                <c:pt idx="637">
                  <c:v>10255</c:v>
                </c:pt>
                <c:pt idx="638">
                  <c:v>27124</c:v>
                </c:pt>
                <c:pt idx="639">
                  <c:v>10427</c:v>
                </c:pt>
                <c:pt idx="640">
                  <c:v>7836</c:v>
                </c:pt>
                <c:pt idx="641">
                  <c:v>8503</c:v>
                </c:pt>
                <c:pt idx="642">
                  <c:v>5401</c:v>
                </c:pt>
                <c:pt idx="643">
                  <c:v>27880</c:v>
                </c:pt>
                <c:pt idx="644">
                  <c:v>4284</c:v>
                </c:pt>
                <c:pt idx="645">
                  <c:v>13184</c:v>
                </c:pt>
                <c:pt idx="646">
                  <c:v>9761</c:v>
                </c:pt>
                <c:pt idx="647">
                  <c:v>15288</c:v>
                </c:pt>
                <c:pt idx="648">
                  <c:v>42825</c:v>
                </c:pt>
                <c:pt idx="649">
                  <c:v>41064</c:v>
                </c:pt>
                <c:pt idx="650">
                  <c:v>14769</c:v>
                </c:pt>
                <c:pt idx="651">
                  <c:v>13646</c:v>
                </c:pt>
                <c:pt idx="652">
                  <c:v>51012</c:v>
                </c:pt>
                <c:pt idx="653">
                  <c:v>6265</c:v>
                </c:pt>
                <c:pt idx="654">
                  <c:v>4982</c:v>
                </c:pt>
                <c:pt idx="655">
                  <c:v>4099</c:v>
                </c:pt>
                <c:pt idx="656">
                  <c:v>12217</c:v>
                </c:pt>
                <c:pt idx="657">
                  <c:v>7408</c:v>
                </c:pt>
                <c:pt idx="658">
                  <c:v>6539</c:v>
                </c:pt>
                <c:pt idx="659">
                  <c:v>17645</c:v>
                </c:pt>
                <c:pt idx="660">
                  <c:v>24987</c:v>
                </c:pt>
                <c:pt idx="661">
                  <c:v>25676</c:v>
                </c:pt>
                <c:pt idx="662">
                  <c:v>29612</c:v>
                </c:pt>
                <c:pt idx="663">
                  <c:v>22087</c:v>
                </c:pt>
                <c:pt idx="664">
                  <c:v>6979</c:v>
                </c:pt>
                <c:pt idx="665">
                  <c:v>3064</c:v>
                </c:pt>
                <c:pt idx="666">
                  <c:v>6145</c:v>
                </c:pt>
                <c:pt idx="667">
                  <c:v>26983</c:v>
                </c:pt>
                <c:pt idx="668">
                  <c:v>32008</c:v>
                </c:pt>
                <c:pt idx="669">
                  <c:v>31892</c:v>
                </c:pt>
                <c:pt idx="670">
                  <c:v>4705</c:v>
                </c:pt>
                <c:pt idx="671">
                  <c:v>3510</c:v>
                </c:pt>
                <c:pt idx="672">
                  <c:v>51892</c:v>
                </c:pt>
                <c:pt idx="673">
                  <c:v>17189</c:v>
                </c:pt>
                <c:pt idx="674">
                  <c:v>16123</c:v>
                </c:pt>
                <c:pt idx="675">
                  <c:v>4000</c:v>
                </c:pt>
                <c:pt idx="676">
                  <c:v>3500</c:v>
                </c:pt>
                <c:pt idx="677">
                  <c:v>4877</c:v>
                </c:pt>
                <c:pt idx="678">
                  <c:v>7311</c:v>
                </c:pt>
                <c:pt idx="679">
                  <c:v>8987</c:v>
                </c:pt>
                <c:pt idx="680">
                  <c:v>13838</c:v>
                </c:pt>
                <c:pt idx="681">
                  <c:v>48069</c:v>
                </c:pt>
                <c:pt idx="682">
                  <c:v>8834</c:v>
                </c:pt>
                <c:pt idx="683">
                  <c:v>6967</c:v>
                </c:pt>
                <c:pt idx="684">
                  <c:v>12371</c:v>
                </c:pt>
                <c:pt idx="685">
                  <c:v>8247</c:v>
                </c:pt>
                <c:pt idx="686">
                  <c:v>15172</c:v>
                </c:pt>
                <c:pt idx="687">
                  <c:v>2641</c:v>
                </c:pt>
                <c:pt idx="688">
                  <c:v>6053</c:v>
                </c:pt>
                <c:pt idx="689">
                  <c:v>7872</c:v>
                </c:pt>
                <c:pt idx="690">
                  <c:v>6155</c:v>
                </c:pt>
                <c:pt idx="691">
                  <c:v>6607</c:v>
                </c:pt>
                <c:pt idx="692">
                  <c:v>6478</c:v>
                </c:pt>
                <c:pt idx="693">
                  <c:v>10656</c:v>
                </c:pt>
                <c:pt idx="694">
                  <c:v>9445</c:v>
                </c:pt>
                <c:pt idx="695">
                  <c:v>11089</c:v>
                </c:pt>
                <c:pt idx="696">
                  <c:v>13731</c:v>
                </c:pt>
                <c:pt idx="697">
                  <c:v>13706</c:v>
                </c:pt>
                <c:pt idx="698">
                  <c:v>13632</c:v>
                </c:pt>
                <c:pt idx="699">
                  <c:v>8705</c:v>
                </c:pt>
                <c:pt idx="700">
                  <c:v>22177</c:v>
                </c:pt>
                <c:pt idx="701">
                  <c:v>8451</c:v>
                </c:pt>
                <c:pt idx="702">
                  <c:v>9698</c:v>
                </c:pt>
                <c:pt idx="703">
                  <c:v>21863</c:v>
                </c:pt>
                <c:pt idx="704">
                  <c:v>4374</c:v>
                </c:pt>
                <c:pt idx="705">
                  <c:v>8556</c:v>
                </c:pt>
                <c:pt idx="706">
                  <c:v>15699</c:v>
                </c:pt>
                <c:pt idx="707">
                  <c:v>4612</c:v>
                </c:pt>
                <c:pt idx="708">
                  <c:v>5814</c:v>
                </c:pt>
                <c:pt idx="709">
                  <c:v>11161</c:v>
                </c:pt>
                <c:pt idx="710">
                  <c:v>29007</c:v>
                </c:pt>
                <c:pt idx="711">
                  <c:v>22601</c:v>
                </c:pt>
                <c:pt idx="712">
                  <c:v>15019</c:v>
                </c:pt>
                <c:pt idx="713">
                  <c:v>43754</c:v>
                </c:pt>
                <c:pt idx="714">
                  <c:v>18019</c:v>
                </c:pt>
                <c:pt idx="715">
                  <c:v>15249</c:v>
                </c:pt>
                <c:pt idx="716">
                  <c:v>22248</c:v>
                </c:pt>
                <c:pt idx="717">
                  <c:v>7147</c:v>
                </c:pt>
                <c:pt idx="718">
                  <c:v>8017</c:v>
                </c:pt>
                <c:pt idx="719">
                  <c:v>8553</c:v>
                </c:pt>
                <c:pt idx="720">
                  <c:v>17877</c:v>
                </c:pt>
                <c:pt idx="721">
                  <c:v>4402</c:v>
                </c:pt>
                <c:pt idx="722">
                  <c:v>6188</c:v>
                </c:pt>
                <c:pt idx="723">
                  <c:v>5820</c:v>
                </c:pt>
                <c:pt idx="724">
                  <c:v>4097</c:v>
                </c:pt>
                <c:pt idx="725">
                  <c:v>5859</c:v>
                </c:pt>
                <c:pt idx="726">
                  <c:v>17755</c:v>
                </c:pt>
                <c:pt idx="727">
                  <c:v>6975</c:v>
                </c:pt>
                <c:pt idx="728">
                  <c:v>4416</c:v>
                </c:pt>
                <c:pt idx="729">
                  <c:v>13734</c:v>
                </c:pt>
                <c:pt idx="730">
                  <c:v>9322</c:v>
                </c:pt>
                <c:pt idx="731">
                  <c:v>7283</c:v>
                </c:pt>
                <c:pt idx="732">
                  <c:v>14426</c:v>
                </c:pt>
                <c:pt idx="733">
                  <c:v>5905</c:v>
                </c:pt>
                <c:pt idx="734">
                  <c:v>6820</c:v>
                </c:pt>
                <c:pt idx="735">
                  <c:v>9319</c:v>
                </c:pt>
                <c:pt idx="736">
                  <c:v>7747</c:v>
                </c:pt>
                <c:pt idx="737">
                  <c:v>3397</c:v>
                </c:pt>
                <c:pt idx="738">
                  <c:v>3058</c:v>
                </c:pt>
                <c:pt idx="739">
                  <c:v>7220</c:v>
                </c:pt>
                <c:pt idx="740">
                  <c:v>8874</c:v>
                </c:pt>
                <c:pt idx="741">
                  <c:v>7748</c:v>
                </c:pt>
                <c:pt idx="742">
                  <c:v>6311</c:v>
                </c:pt>
                <c:pt idx="743">
                  <c:v>5018</c:v>
                </c:pt>
                <c:pt idx="744">
                  <c:v>5462</c:v>
                </c:pt>
                <c:pt idx="745">
                  <c:v>99705</c:v>
                </c:pt>
                <c:pt idx="746">
                  <c:v>5454</c:v>
                </c:pt>
                <c:pt idx="747">
                  <c:v>3883</c:v>
                </c:pt>
                <c:pt idx="748">
                  <c:v>7057</c:v>
                </c:pt>
                <c:pt idx="749">
                  <c:v>4221</c:v>
                </c:pt>
                <c:pt idx="750">
                  <c:v>5895</c:v>
                </c:pt>
                <c:pt idx="751">
                  <c:v>11155</c:v>
                </c:pt>
                <c:pt idx="752">
                  <c:v>3955</c:v>
                </c:pt>
                <c:pt idx="753">
                  <c:v>9512</c:v>
                </c:pt>
                <c:pt idx="754">
                  <c:v>10436</c:v>
                </c:pt>
                <c:pt idx="755">
                  <c:v>9891</c:v>
                </c:pt>
                <c:pt idx="756">
                  <c:v>5747</c:v>
                </c:pt>
                <c:pt idx="757">
                  <c:v>6268</c:v>
                </c:pt>
                <c:pt idx="758">
                  <c:v>6394</c:v>
                </c:pt>
                <c:pt idx="759">
                  <c:v>5035</c:v>
                </c:pt>
                <c:pt idx="760">
                  <c:v>6905</c:v>
                </c:pt>
                <c:pt idx="761">
                  <c:v>17471</c:v>
                </c:pt>
                <c:pt idx="762">
                  <c:v>17792</c:v>
                </c:pt>
                <c:pt idx="763">
                  <c:v>10428</c:v>
                </c:pt>
                <c:pt idx="764">
                  <c:v>12492</c:v>
                </c:pt>
                <c:pt idx="765">
                  <c:v>26919</c:v>
                </c:pt>
                <c:pt idx="766">
                  <c:v>46259</c:v>
                </c:pt>
                <c:pt idx="767">
                  <c:v>26165</c:v>
                </c:pt>
                <c:pt idx="768">
                  <c:v>6015</c:v>
                </c:pt>
                <c:pt idx="769">
                  <c:v>8626</c:v>
                </c:pt>
                <c:pt idx="770">
                  <c:v>6743</c:v>
                </c:pt>
                <c:pt idx="771">
                  <c:v>24267</c:v>
                </c:pt>
                <c:pt idx="772">
                  <c:v>10791</c:v>
                </c:pt>
                <c:pt idx="773">
                  <c:v>7707</c:v>
                </c:pt>
                <c:pt idx="774">
                  <c:v>7596</c:v>
                </c:pt>
                <c:pt idx="775">
                  <c:v>9957</c:v>
                </c:pt>
                <c:pt idx="776">
                  <c:v>8727</c:v>
                </c:pt>
                <c:pt idx="777">
                  <c:v>8376</c:v>
                </c:pt>
                <c:pt idx="778">
                  <c:v>7727</c:v>
                </c:pt>
                <c:pt idx="779">
                  <c:v>30619</c:v>
                </c:pt>
                <c:pt idx="780">
                  <c:v>17376</c:v>
                </c:pt>
                <c:pt idx="781">
                  <c:v>40272</c:v>
                </c:pt>
                <c:pt idx="782">
                  <c:v>28803</c:v>
                </c:pt>
                <c:pt idx="783">
                  <c:v>30724</c:v>
                </c:pt>
                <c:pt idx="784">
                  <c:v>29558</c:v>
                </c:pt>
                <c:pt idx="785">
                  <c:v>34891</c:v>
                </c:pt>
                <c:pt idx="786">
                  <c:v>4547</c:v>
                </c:pt>
                <c:pt idx="787">
                  <c:v>9318</c:v>
                </c:pt>
                <c:pt idx="788">
                  <c:v>21562</c:v>
                </c:pt>
                <c:pt idx="789">
                  <c:v>7513</c:v>
                </c:pt>
                <c:pt idx="790">
                  <c:v>11770</c:v>
                </c:pt>
                <c:pt idx="791">
                  <c:v>24493</c:v>
                </c:pt>
                <c:pt idx="792">
                  <c:v>4997</c:v>
                </c:pt>
                <c:pt idx="793">
                  <c:v>6731</c:v>
                </c:pt>
                <c:pt idx="794">
                  <c:v>8170</c:v>
                </c:pt>
                <c:pt idx="795">
                  <c:v>6627</c:v>
                </c:pt>
                <c:pt idx="796">
                  <c:v>26606</c:v>
                </c:pt>
                <c:pt idx="797">
                  <c:v>9719</c:v>
                </c:pt>
                <c:pt idx="798">
                  <c:v>7421</c:v>
                </c:pt>
                <c:pt idx="799">
                  <c:v>4709</c:v>
                </c:pt>
                <c:pt idx="800">
                  <c:v>5764</c:v>
                </c:pt>
                <c:pt idx="801">
                  <c:v>17410</c:v>
                </c:pt>
                <c:pt idx="802">
                  <c:v>8841</c:v>
                </c:pt>
                <c:pt idx="803">
                  <c:v>17525</c:v>
                </c:pt>
                <c:pt idx="804">
                  <c:v>17563</c:v>
                </c:pt>
                <c:pt idx="805">
                  <c:v>48101</c:v>
                </c:pt>
                <c:pt idx="806">
                  <c:v>14831</c:v>
                </c:pt>
                <c:pt idx="807">
                  <c:v>13930</c:v>
                </c:pt>
                <c:pt idx="808">
                  <c:v>27004</c:v>
                </c:pt>
                <c:pt idx="809">
                  <c:v>14746</c:v>
                </c:pt>
                <c:pt idx="810">
                  <c:v>16992</c:v>
                </c:pt>
                <c:pt idx="811">
                  <c:v>18527</c:v>
                </c:pt>
                <c:pt idx="812">
                  <c:v>51108</c:v>
                </c:pt>
                <c:pt idx="813">
                  <c:v>44179</c:v>
                </c:pt>
                <c:pt idx="814">
                  <c:v>12674</c:v>
                </c:pt>
                <c:pt idx="815">
                  <c:v>20221</c:v>
                </c:pt>
                <c:pt idx="816">
                  <c:v>48249</c:v>
                </c:pt>
                <c:pt idx="817">
                  <c:v>12400</c:v>
                </c:pt>
                <c:pt idx="818">
                  <c:v>12197</c:v>
                </c:pt>
                <c:pt idx="819">
                  <c:v>32961</c:v>
                </c:pt>
                <c:pt idx="820">
                  <c:v>27401</c:v>
                </c:pt>
                <c:pt idx="821">
                  <c:v>22749</c:v>
                </c:pt>
                <c:pt idx="822">
                  <c:v>53379</c:v>
                </c:pt>
                <c:pt idx="823">
                  <c:v>214646</c:v>
                </c:pt>
                <c:pt idx="824">
                  <c:v>18320</c:v>
                </c:pt>
                <c:pt idx="825">
                  <c:v>15838</c:v>
                </c:pt>
                <c:pt idx="826">
                  <c:v>81243</c:v>
                </c:pt>
                <c:pt idx="827">
                  <c:v>104139</c:v>
                </c:pt>
                <c:pt idx="828">
                  <c:v>12862</c:v>
                </c:pt>
                <c:pt idx="829">
                  <c:v>22433</c:v>
                </c:pt>
                <c:pt idx="830">
                  <c:v>1127</c:v>
                </c:pt>
                <c:pt idx="831">
                  <c:v>17687</c:v>
                </c:pt>
                <c:pt idx="832">
                  <c:v>6275</c:v>
                </c:pt>
                <c:pt idx="833">
                  <c:v>5274</c:v>
                </c:pt>
                <c:pt idx="834">
                  <c:v>12981</c:v>
                </c:pt>
                <c:pt idx="835">
                  <c:v>167035</c:v>
                </c:pt>
                <c:pt idx="836">
                  <c:v>6545</c:v>
                </c:pt>
                <c:pt idx="837">
                  <c:v>8141</c:v>
                </c:pt>
                <c:pt idx="838">
                  <c:v>6911</c:v>
                </c:pt>
                <c:pt idx="839">
                  <c:v>169186</c:v>
                </c:pt>
                <c:pt idx="840">
                  <c:v>15880</c:v>
                </c:pt>
                <c:pt idx="841">
                  <c:v>11691</c:v>
                </c:pt>
                <c:pt idx="842">
                  <c:v>7623</c:v>
                </c:pt>
                <c:pt idx="843">
                  <c:v>12183</c:v>
                </c:pt>
                <c:pt idx="844">
                  <c:v>34839</c:v>
                </c:pt>
                <c:pt idx="845">
                  <c:v>14910</c:v>
                </c:pt>
                <c:pt idx="846">
                  <c:v>11017</c:v>
                </c:pt>
                <c:pt idx="847">
                  <c:v>9957</c:v>
                </c:pt>
                <c:pt idx="848">
                  <c:v>15568</c:v>
                </c:pt>
                <c:pt idx="849">
                  <c:v>48343</c:v>
                </c:pt>
                <c:pt idx="850">
                  <c:v>17273</c:v>
                </c:pt>
                <c:pt idx="851">
                  <c:v>24395</c:v>
                </c:pt>
                <c:pt idx="852">
                  <c:v>10880</c:v>
                </c:pt>
                <c:pt idx="853">
                  <c:v>18786</c:v>
                </c:pt>
                <c:pt idx="854">
                  <c:v>163538</c:v>
                </c:pt>
                <c:pt idx="855">
                  <c:v>27722</c:v>
                </c:pt>
                <c:pt idx="856">
                  <c:v>49781</c:v>
                </c:pt>
                <c:pt idx="857">
                  <c:v>31421</c:v>
                </c:pt>
                <c:pt idx="858">
                  <c:v>27725</c:v>
                </c:pt>
                <c:pt idx="859">
                  <c:v>14063</c:v>
                </c:pt>
                <c:pt idx="860">
                  <c:v>15314</c:v>
                </c:pt>
                <c:pt idx="861">
                  <c:v>18893</c:v>
                </c:pt>
                <c:pt idx="862">
                  <c:v>47853</c:v>
                </c:pt>
                <c:pt idx="863">
                  <c:v>17373</c:v>
                </c:pt>
                <c:pt idx="864">
                  <c:v>34637</c:v>
                </c:pt>
                <c:pt idx="865">
                  <c:v>20045</c:v>
                </c:pt>
                <c:pt idx="866">
                  <c:v>32845</c:v>
                </c:pt>
                <c:pt idx="867">
                  <c:v>32164</c:v>
                </c:pt>
                <c:pt idx="868">
                  <c:v>15102</c:v>
                </c:pt>
                <c:pt idx="869">
                  <c:v>6572</c:v>
                </c:pt>
                <c:pt idx="870">
                  <c:v>30727</c:v>
                </c:pt>
                <c:pt idx="871">
                  <c:v>30051</c:v>
                </c:pt>
                <c:pt idx="872">
                  <c:v>28704</c:v>
                </c:pt>
                <c:pt idx="873">
                  <c:v>45475</c:v>
                </c:pt>
                <c:pt idx="874">
                  <c:v>16217</c:v>
                </c:pt>
                <c:pt idx="875">
                  <c:v>31237</c:v>
                </c:pt>
                <c:pt idx="876">
                  <c:v>26107</c:v>
                </c:pt>
                <c:pt idx="877">
                  <c:v>19579</c:v>
                </c:pt>
                <c:pt idx="878">
                  <c:v>23223</c:v>
                </c:pt>
                <c:pt idx="879">
                  <c:v>33619</c:v>
                </c:pt>
                <c:pt idx="880">
                  <c:v>26172</c:v>
                </c:pt>
                <c:pt idx="881">
                  <c:v>35238</c:v>
                </c:pt>
                <c:pt idx="882">
                  <c:v>30164</c:v>
                </c:pt>
                <c:pt idx="883">
                  <c:v>19098</c:v>
                </c:pt>
                <c:pt idx="884">
                  <c:v>31232</c:v>
                </c:pt>
                <c:pt idx="885">
                  <c:v>48112</c:v>
                </c:pt>
                <c:pt idx="886">
                  <c:v>221380</c:v>
                </c:pt>
                <c:pt idx="887">
                  <c:v>22625</c:v>
                </c:pt>
                <c:pt idx="888">
                  <c:v>37730</c:v>
                </c:pt>
                <c:pt idx="889">
                  <c:v>50137</c:v>
                </c:pt>
                <c:pt idx="890">
                  <c:v>20489</c:v>
                </c:pt>
                <c:pt idx="891">
                  <c:v>16790</c:v>
                </c:pt>
                <c:pt idx="892">
                  <c:v>29846</c:v>
                </c:pt>
                <c:pt idx="893">
                  <c:v>30461</c:v>
                </c:pt>
                <c:pt idx="894">
                  <c:v>24742</c:v>
                </c:pt>
                <c:pt idx="895">
                  <c:v>36544</c:v>
                </c:pt>
                <c:pt idx="896">
                  <c:v>203106</c:v>
                </c:pt>
                <c:pt idx="897">
                  <c:v>19010</c:v>
                </c:pt>
                <c:pt idx="898">
                  <c:v>17752</c:v>
                </c:pt>
                <c:pt idx="899">
                  <c:v>11188</c:v>
                </c:pt>
                <c:pt idx="900">
                  <c:v>21708</c:v>
                </c:pt>
                <c:pt idx="901">
                  <c:v>29533</c:v>
                </c:pt>
                <c:pt idx="902">
                  <c:v>15438</c:v>
                </c:pt>
                <c:pt idx="903">
                  <c:v>41884</c:v>
                </c:pt>
                <c:pt idx="904">
                  <c:v>57452</c:v>
                </c:pt>
                <c:pt idx="905">
                  <c:v>11776</c:v>
                </c:pt>
                <c:pt idx="906">
                  <c:v>28117</c:v>
                </c:pt>
                <c:pt idx="907">
                  <c:v>32479</c:v>
                </c:pt>
                <c:pt idx="908">
                  <c:v>26511</c:v>
                </c:pt>
                <c:pt idx="909">
                  <c:v>36742</c:v>
                </c:pt>
                <c:pt idx="910">
                  <c:v>34029</c:v>
                </c:pt>
                <c:pt idx="911">
                  <c:v>59721</c:v>
                </c:pt>
                <c:pt idx="912">
                  <c:v>60190</c:v>
                </c:pt>
                <c:pt idx="913">
                  <c:v>85491</c:v>
                </c:pt>
                <c:pt idx="914">
                  <c:v>19373</c:v>
                </c:pt>
                <c:pt idx="915">
                  <c:v>31904</c:v>
                </c:pt>
                <c:pt idx="916">
                  <c:v>18616</c:v>
                </c:pt>
                <c:pt idx="917">
                  <c:v>100435</c:v>
                </c:pt>
                <c:pt idx="918">
                  <c:v>32764</c:v>
                </c:pt>
                <c:pt idx="919">
                  <c:v>9800</c:v>
                </c:pt>
                <c:pt idx="920">
                  <c:v>11086</c:v>
                </c:pt>
                <c:pt idx="921">
                  <c:v>16861</c:v>
                </c:pt>
                <c:pt idx="922">
                  <c:v>10629</c:v>
                </c:pt>
                <c:pt idx="923">
                  <c:v>42941</c:v>
                </c:pt>
                <c:pt idx="924">
                  <c:v>42902</c:v>
                </c:pt>
                <c:pt idx="925">
                  <c:v>19666</c:v>
                </c:pt>
                <c:pt idx="926">
                  <c:v>13672</c:v>
                </c:pt>
                <c:pt idx="927">
                  <c:v>12437</c:v>
                </c:pt>
                <c:pt idx="928">
                  <c:v>10963</c:v>
                </c:pt>
                <c:pt idx="929">
                  <c:v>17185</c:v>
                </c:pt>
                <c:pt idx="930">
                  <c:v>18559</c:v>
                </c:pt>
                <c:pt idx="931">
                  <c:v>14729</c:v>
                </c:pt>
                <c:pt idx="932">
                  <c:v>26961</c:v>
                </c:pt>
                <c:pt idx="933">
                  <c:v>9529</c:v>
                </c:pt>
                <c:pt idx="934">
                  <c:v>10231</c:v>
                </c:pt>
                <c:pt idx="935">
                  <c:v>11773</c:v>
                </c:pt>
                <c:pt idx="936">
                  <c:v>50990</c:v>
                </c:pt>
                <c:pt idx="937">
                  <c:v>25503</c:v>
                </c:pt>
                <c:pt idx="938">
                  <c:v>9795</c:v>
                </c:pt>
                <c:pt idx="939">
                  <c:v>16306</c:v>
                </c:pt>
                <c:pt idx="940">
                  <c:v>32899</c:v>
                </c:pt>
                <c:pt idx="941">
                  <c:v>10137</c:v>
                </c:pt>
                <c:pt idx="942">
                  <c:v>21260</c:v>
                </c:pt>
                <c:pt idx="943">
                  <c:v>13977</c:v>
                </c:pt>
                <c:pt idx="944">
                  <c:v>18236</c:v>
                </c:pt>
                <c:pt idx="945">
                  <c:v>14101</c:v>
                </c:pt>
                <c:pt idx="946">
                  <c:v>16147</c:v>
                </c:pt>
                <c:pt idx="947">
                  <c:v>13396</c:v>
                </c:pt>
                <c:pt idx="948">
                  <c:v>16059</c:v>
                </c:pt>
                <c:pt idx="949">
                  <c:v>175739</c:v>
                </c:pt>
                <c:pt idx="950">
                  <c:v>28028</c:v>
                </c:pt>
                <c:pt idx="951">
                  <c:v>25885</c:v>
                </c:pt>
                <c:pt idx="952">
                  <c:v>32378</c:v>
                </c:pt>
                <c:pt idx="953">
                  <c:v>16904</c:v>
                </c:pt>
                <c:pt idx="954">
                  <c:v>33074</c:v>
                </c:pt>
                <c:pt idx="955">
                  <c:v>32002</c:v>
                </c:pt>
                <c:pt idx="956">
                  <c:v>46252</c:v>
                </c:pt>
                <c:pt idx="957">
                  <c:v>26283</c:v>
                </c:pt>
                <c:pt idx="958">
                  <c:v>16300</c:v>
                </c:pt>
                <c:pt idx="959">
                  <c:v>24771</c:v>
                </c:pt>
                <c:pt idx="960">
                  <c:v>15599</c:v>
                </c:pt>
                <c:pt idx="961">
                  <c:v>13956</c:v>
                </c:pt>
                <c:pt idx="962">
                  <c:v>11483</c:v>
                </c:pt>
                <c:pt idx="963">
                  <c:v>17458</c:v>
                </c:pt>
                <c:pt idx="964">
                  <c:v>18838</c:v>
                </c:pt>
                <c:pt idx="965">
                  <c:v>18102</c:v>
                </c:pt>
                <c:pt idx="966">
                  <c:v>22773</c:v>
                </c:pt>
                <c:pt idx="967">
                  <c:v>17931</c:v>
                </c:pt>
                <c:pt idx="968">
                  <c:v>11106</c:v>
                </c:pt>
                <c:pt idx="969">
                  <c:v>13241</c:v>
                </c:pt>
                <c:pt idx="970">
                  <c:v>16368</c:v>
                </c:pt>
                <c:pt idx="971">
                  <c:v>12010</c:v>
                </c:pt>
                <c:pt idx="972">
                  <c:v>25708</c:v>
                </c:pt>
                <c:pt idx="973">
                  <c:v>26363</c:v>
                </c:pt>
                <c:pt idx="974">
                  <c:v>14321</c:v>
                </c:pt>
                <c:pt idx="975">
                  <c:v>24315</c:v>
                </c:pt>
                <c:pt idx="976">
                  <c:v>35463</c:v>
                </c:pt>
                <c:pt idx="977">
                  <c:v>51601</c:v>
                </c:pt>
                <c:pt idx="978">
                  <c:v>26244</c:v>
                </c:pt>
                <c:pt idx="979">
                  <c:v>16395</c:v>
                </c:pt>
                <c:pt idx="980">
                  <c:v>43134</c:v>
                </c:pt>
                <c:pt idx="981">
                  <c:v>34425</c:v>
                </c:pt>
                <c:pt idx="982">
                  <c:v>32806</c:v>
                </c:pt>
                <c:pt idx="983">
                  <c:v>62846</c:v>
                </c:pt>
                <c:pt idx="984">
                  <c:v>55682</c:v>
                </c:pt>
                <c:pt idx="985">
                  <c:v>65654</c:v>
                </c:pt>
                <c:pt idx="986">
                  <c:v>100068</c:v>
                </c:pt>
                <c:pt idx="987">
                  <c:v>78496</c:v>
                </c:pt>
                <c:pt idx="988">
                  <c:v>32743</c:v>
                </c:pt>
                <c:pt idx="989">
                  <c:v>54833</c:v>
                </c:pt>
                <c:pt idx="990">
                  <c:v>20130</c:v>
                </c:pt>
                <c:pt idx="991">
                  <c:v>29880</c:v>
                </c:pt>
                <c:pt idx="992">
                  <c:v>39631</c:v>
                </c:pt>
                <c:pt idx="993">
                  <c:v>22873</c:v>
                </c:pt>
                <c:pt idx="994">
                  <c:v>17019</c:v>
                </c:pt>
                <c:pt idx="995">
                  <c:v>15482</c:v>
                </c:pt>
                <c:pt idx="996">
                  <c:v>17429</c:v>
                </c:pt>
                <c:pt idx="997">
                  <c:v>14279</c:v>
                </c:pt>
                <c:pt idx="998">
                  <c:v>20676</c:v>
                </c:pt>
                <c:pt idx="999">
                  <c:v>25256</c:v>
                </c:pt>
                <c:pt idx="1000">
                  <c:v>18977</c:v>
                </c:pt>
                <c:pt idx="1001">
                  <c:v>25794</c:v>
                </c:pt>
                <c:pt idx="1002">
                  <c:v>41620</c:v>
                </c:pt>
                <c:pt idx="1003">
                  <c:v>26435</c:v>
                </c:pt>
                <c:pt idx="1004">
                  <c:v>11774</c:v>
                </c:pt>
                <c:pt idx="1005">
                  <c:v>11859</c:v>
                </c:pt>
                <c:pt idx="1006">
                  <c:v>28580</c:v>
                </c:pt>
                <c:pt idx="1007">
                  <c:v>16778</c:v>
                </c:pt>
                <c:pt idx="1008">
                  <c:v>20688</c:v>
                </c:pt>
                <c:pt idx="1009">
                  <c:v>21011</c:v>
                </c:pt>
                <c:pt idx="1010">
                  <c:v>25535</c:v>
                </c:pt>
                <c:pt idx="1011">
                  <c:v>67592</c:v>
                </c:pt>
                <c:pt idx="1012">
                  <c:v>72473</c:v>
                </c:pt>
                <c:pt idx="1013">
                  <c:v>24990</c:v>
                </c:pt>
                <c:pt idx="1014">
                  <c:v>28862</c:v>
                </c:pt>
                <c:pt idx="1015">
                  <c:v>15605</c:v>
                </c:pt>
                <c:pt idx="1016">
                  <c:v>20898</c:v>
                </c:pt>
                <c:pt idx="1017">
                  <c:v>24935</c:v>
                </c:pt>
                <c:pt idx="1018">
                  <c:v>30322</c:v>
                </c:pt>
                <c:pt idx="1019">
                  <c:v>8566</c:v>
                </c:pt>
                <c:pt idx="1020">
                  <c:v>28595</c:v>
                </c:pt>
                <c:pt idx="1021">
                  <c:v>24561</c:v>
                </c:pt>
                <c:pt idx="1022">
                  <c:v>11461</c:v>
                </c:pt>
                <c:pt idx="1023">
                  <c:v>44867</c:v>
                </c:pt>
                <c:pt idx="1024">
                  <c:v>12096</c:v>
                </c:pt>
                <c:pt idx="1025">
                  <c:v>20224</c:v>
                </c:pt>
                <c:pt idx="1026">
                  <c:v>15901</c:v>
                </c:pt>
                <c:pt idx="1027">
                  <c:v>13432</c:v>
                </c:pt>
                <c:pt idx="1028">
                  <c:v>20617</c:v>
                </c:pt>
                <c:pt idx="1029">
                  <c:v>18702</c:v>
                </c:pt>
                <c:pt idx="1030">
                  <c:v>26663</c:v>
                </c:pt>
                <c:pt idx="1031">
                  <c:v>9354</c:v>
                </c:pt>
                <c:pt idx="1032">
                  <c:v>6705</c:v>
                </c:pt>
                <c:pt idx="1033">
                  <c:v>7389</c:v>
                </c:pt>
                <c:pt idx="1034">
                  <c:v>10661</c:v>
                </c:pt>
                <c:pt idx="1035">
                  <c:v>13784</c:v>
                </c:pt>
                <c:pt idx="1036">
                  <c:v>8523</c:v>
                </c:pt>
                <c:pt idx="1037">
                  <c:v>12492</c:v>
                </c:pt>
                <c:pt idx="1038">
                  <c:v>98179</c:v>
                </c:pt>
                <c:pt idx="1039">
                  <c:v>30500</c:v>
                </c:pt>
                <c:pt idx="1040">
                  <c:v>11405</c:v>
                </c:pt>
                <c:pt idx="1041">
                  <c:v>22363</c:v>
                </c:pt>
                <c:pt idx="1042">
                  <c:v>10346</c:v>
                </c:pt>
                <c:pt idx="1043">
                  <c:v>19952</c:v>
                </c:pt>
                <c:pt idx="1044">
                  <c:v>16307</c:v>
                </c:pt>
                <c:pt idx="1045">
                  <c:v>27561</c:v>
                </c:pt>
                <c:pt idx="1046">
                  <c:v>61295</c:v>
                </c:pt>
                <c:pt idx="1047">
                  <c:v>22952</c:v>
                </c:pt>
                <c:pt idx="1048">
                  <c:v>51240</c:v>
                </c:pt>
                <c:pt idx="1049">
                  <c:v>29805</c:v>
                </c:pt>
                <c:pt idx="1050">
                  <c:v>47689</c:v>
                </c:pt>
                <c:pt idx="1051">
                  <c:v>51513</c:v>
                </c:pt>
                <c:pt idx="1052">
                  <c:v>21876</c:v>
                </c:pt>
                <c:pt idx="1053">
                  <c:v>26575</c:v>
                </c:pt>
                <c:pt idx="1054">
                  <c:v>29911</c:v>
                </c:pt>
                <c:pt idx="1055">
                  <c:v>37107</c:v>
                </c:pt>
                <c:pt idx="1056">
                  <c:v>40045</c:v>
                </c:pt>
                <c:pt idx="1057">
                  <c:v>34868</c:v>
                </c:pt>
                <c:pt idx="1058">
                  <c:v>23510</c:v>
                </c:pt>
                <c:pt idx="1059">
                  <c:v>47175</c:v>
                </c:pt>
                <c:pt idx="1060">
                  <c:v>107418</c:v>
                </c:pt>
                <c:pt idx="1061">
                  <c:v>109557</c:v>
                </c:pt>
                <c:pt idx="1062">
                  <c:v>15878</c:v>
                </c:pt>
                <c:pt idx="1063">
                  <c:v>14746</c:v>
                </c:pt>
                <c:pt idx="1064">
                  <c:v>21694</c:v>
                </c:pt>
                <c:pt idx="1065">
                  <c:v>31043</c:v>
                </c:pt>
                <c:pt idx="1066">
                  <c:v>19494</c:v>
                </c:pt>
                <c:pt idx="1067">
                  <c:v>10091</c:v>
                </c:pt>
                <c:pt idx="1068">
                  <c:v>5696</c:v>
                </c:pt>
                <c:pt idx="1069">
                  <c:v>54561</c:v>
                </c:pt>
                <c:pt idx="1070">
                  <c:v>44116</c:v>
                </c:pt>
                <c:pt idx="1071">
                  <c:v>80789</c:v>
                </c:pt>
                <c:pt idx="1072">
                  <c:v>29456</c:v>
                </c:pt>
                <c:pt idx="1073">
                  <c:v>27048</c:v>
                </c:pt>
                <c:pt idx="1074">
                  <c:v>34592</c:v>
                </c:pt>
                <c:pt idx="1075">
                  <c:v>9761</c:v>
                </c:pt>
                <c:pt idx="1076">
                  <c:v>17772</c:v>
                </c:pt>
                <c:pt idx="1077">
                  <c:v>9728</c:v>
                </c:pt>
                <c:pt idx="1078">
                  <c:v>42476</c:v>
                </c:pt>
                <c:pt idx="1079">
                  <c:v>133584</c:v>
                </c:pt>
                <c:pt idx="1080">
                  <c:v>13440</c:v>
                </c:pt>
                <c:pt idx="1081">
                  <c:v>24633</c:v>
                </c:pt>
                <c:pt idx="1082">
                  <c:v>25772</c:v>
                </c:pt>
                <c:pt idx="1083">
                  <c:v>19794</c:v>
                </c:pt>
                <c:pt idx="1084">
                  <c:v>10321</c:v>
                </c:pt>
                <c:pt idx="1085">
                  <c:v>148608</c:v>
                </c:pt>
                <c:pt idx="1086">
                  <c:v>11004</c:v>
                </c:pt>
                <c:pt idx="1087">
                  <c:v>81882</c:v>
                </c:pt>
                <c:pt idx="1088">
                  <c:v>6648</c:v>
                </c:pt>
                <c:pt idx="1089">
                  <c:v>23832</c:v>
                </c:pt>
                <c:pt idx="1090">
                  <c:v>32064</c:v>
                </c:pt>
                <c:pt idx="1091">
                  <c:v>22556</c:v>
                </c:pt>
                <c:pt idx="1092">
                  <c:v>8978</c:v>
                </c:pt>
                <c:pt idx="1093">
                  <c:v>18142</c:v>
                </c:pt>
                <c:pt idx="1094">
                  <c:v>93526</c:v>
                </c:pt>
                <c:pt idx="1095">
                  <c:v>118728</c:v>
                </c:pt>
                <c:pt idx="1096">
                  <c:v>22596</c:v>
                </c:pt>
                <c:pt idx="1097">
                  <c:v>143024</c:v>
                </c:pt>
                <c:pt idx="1098">
                  <c:v>26826</c:v>
                </c:pt>
                <c:pt idx="1099">
                  <c:v>74779</c:v>
                </c:pt>
                <c:pt idx="1100">
                  <c:v>32004</c:v>
                </c:pt>
                <c:pt idx="1101">
                  <c:v>50963</c:v>
                </c:pt>
                <c:pt idx="1102">
                  <c:v>13729</c:v>
                </c:pt>
                <c:pt idx="1103">
                  <c:v>16003</c:v>
                </c:pt>
                <c:pt idx="1104">
                  <c:v>32129</c:v>
                </c:pt>
                <c:pt idx="1105">
                  <c:v>14940</c:v>
                </c:pt>
                <c:pt idx="1106">
                  <c:v>29358</c:v>
                </c:pt>
                <c:pt idx="1107">
                  <c:v>27555</c:v>
                </c:pt>
                <c:pt idx="1108">
                  <c:v>30339</c:v>
                </c:pt>
                <c:pt idx="1109">
                  <c:v>31675</c:v>
                </c:pt>
                <c:pt idx="1110">
                  <c:v>85098</c:v>
                </c:pt>
                <c:pt idx="1111">
                  <c:v>22102</c:v>
                </c:pt>
                <c:pt idx="1112">
                  <c:v>183598</c:v>
                </c:pt>
                <c:pt idx="1113">
                  <c:v>27646</c:v>
                </c:pt>
                <c:pt idx="1114">
                  <c:v>166119</c:v>
                </c:pt>
                <c:pt idx="1115">
                  <c:v>231296</c:v>
                </c:pt>
                <c:pt idx="1116">
                  <c:v>86414</c:v>
                </c:pt>
                <c:pt idx="1117">
                  <c:v>46614</c:v>
                </c:pt>
                <c:pt idx="1118">
                  <c:v>32580</c:v>
                </c:pt>
                <c:pt idx="1119">
                  <c:v>9482</c:v>
                </c:pt>
                <c:pt idx="1120">
                  <c:v>18023</c:v>
                </c:pt>
                <c:pt idx="1121">
                  <c:v>423662</c:v>
                </c:pt>
                <c:pt idx="1122">
                  <c:v>29243</c:v>
                </c:pt>
                <c:pt idx="1123">
                  <c:v>21074</c:v>
                </c:pt>
                <c:pt idx="1124">
                  <c:v>10409</c:v>
                </c:pt>
                <c:pt idx="1125">
                  <c:v>71017</c:v>
                </c:pt>
                <c:pt idx="1126">
                  <c:v>9673</c:v>
                </c:pt>
                <c:pt idx="1127">
                  <c:v>7784</c:v>
                </c:pt>
                <c:pt idx="1128">
                  <c:v>12248</c:v>
                </c:pt>
                <c:pt idx="1129">
                  <c:v>14773</c:v>
                </c:pt>
                <c:pt idx="1130">
                  <c:v>33974</c:v>
                </c:pt>
                <c:pt idx="1131">
                  <c:v>14937</c:v>
                </c:pt>
                <c:pt idx="1132">
                  <c:v>14903</c:v>
                </c:pt>
                <c:pt idx="1133">
                  <c:v>17185</c:v>
                </c:pt>
                <c:pt idx="1134">
                  <c:v>14879</c:v>
                </c:pt>
                <c:pt idx="1135">
                  <c:v>39318</c:v>
                </c:pt>
                <c:pt idx="1136">
                  <c:v>30224</c:v>
                </c:pt>
                <c:pt idx="1137">
                  <c:v>6892</c:v>
                </c:pt>
                <c:pt idx="1138">
                  <c:v>7661</c:v>
                </c:pt>
                <c:pt idx="1139">
                  <c:v>7724</c:v>
                </c:pt>
                <c:pt idx="1140">
                  <c:v>14306</c:v>
                </c:pt>
                <c:pt idx="1141">
                  <c:v>25041</c:v>
                </c:pt>
                <c:pt idx="1142">
                  <c:v>74204</c:v>
                </c:pt>
                <c:pt idx="1143">
                  <c:v>21449</c:v>
                </c:pt>
                <c:pt idx="1144">
                  <c:v>16077</c:v>
                </c:pt>
                <c:pt idx="1145">
                  <c:v>12753</c:v>
                </c:pt>
                <c:pt idx="1146">
                  <c:v>15598</c:v>
                </c:pt>
                <c:pt idx="1147">
                  <c:v>341412</c:v>
                </c:pt>
                <c:pt idx="1148">
                  <c:v>11787</c:v>
                </c:pt>
                <c:pt idx="1149">
                  <c:v>14094</c:v>
                </c:pt>
                <c:pt idx="1150">
                  <c:v>10261</c:v>
                </c:pt>
                <c:pt idx="1151">
                  <c:v>135161</c:v>
                </c:pt>
                <c:pt idx="1152">
                  <c:v>111472</c:v>
                </c:pt>
                <c:pt idx="1153">
                  <c:v>27368</c:v>
                </c:pt>
                <c:pt idx="1154">
                  <c:v>12818</c:v>
                </c:pt>
                <c:pt idx="1155">
                  <c:v>18655</c:v>
                </c:pt>
                <c:pt idx="1156">
                  <c:v>16584</c:v>
                </c:pt>
                <c:pt idx="1157">
                  <c:v>16233</c:v>
                </c:pt>
                <c:pt idx="1158">
                  <c:v>52148</c:v>
                </c:pt>
                <c:pt idx="1159">
                  <c:v>53959</c:v>
                </c:pt>
                <c:pt idx="1160">
                  <c:v>134377</c:v>
                </c:pt>
                <c:pt idx="1161">
                  <c:v>103247</c:v>
                </c:pt>
                <c:pt idx="1162">
                  <c:v>10176</c:v>
                </c:pt>
                <c:pt idx="1163">
                  <c:v>35157</c:v>
                </c:pt>
                <c:pt idx="1164">
                  <c:v>12323</c:v>
                </c:pt>
                <c:pt idx="1165">
                  <c:v>11520</c:v>
                </c:pt>
                <c:pt idx="1166">
                  <c:v>19237</c:v>
                </c:pt>
                <c:pt idx="1167">
                  <c:v>7780</c:v>
                </c:pt>
                <c:pt idx="1168">
                  <c:v>5755</c:v>
                </c:pt>
                <c:pt idx="1169">
                  <c:v>15280</c:v>
                </c:pt>
                <c:pt idx="1170">
                  <c:v>14051</c:v>
                </c:pt>
                <c:pt idx="1171">
                  <c:v>33002</c:v>
                </c:pt>
                <c:pt idx="1172">
                  <c:v>15631</c:v>
                </c:pt>
                <c:pt idx="1173">
                  <c:v>11717</c:v>
                </c:pt>
                <c:pt idx="1174">
                  <c:v>13233</c:v>
                </c:pt>
                <c:pt idx="1175">
                  <c:v>14983</c:v>
                </c:pt>
                <c:pt idx="1176">
                  <c:v>36183</c:v>
                </c:pt>
                <c:pt idx="1177">
                  <c:v>35730</c:v>
                </c:pt>
                <c:pt idx="1178">
                  <c:v>13814</c:v>
                </c:pt>
                <c:pt idx="1179">
                  <c:v>23574</c:v>
                </c:pt>
                <c:pt idx="1180">
                  <c:v>22663</c:v>
                </c:pt>
                <c:pt idx="1181">
                  <c:v>22689</c:v>
                </c:pt>
                <c:pt idx="1182">
                  <c:v>65936</c:v>
                </c:pt>
                <c:pt idx="1183">
                  <c:v>12536</c:v>
                </c:pt>
                <c:pt idx="1184">
                  <c:v>12436</c:v>
                </c:pt>
                <c:pt idx="1185">
                  <c:v>14212</c:v>
                </c:pt>
                <c:pt idx="1186">
                  <c:v>31384</c:v>
                </c:pt>
                <c:pt idx="1187">
                  <c:v>52406</c:v>
                </c:pt>
                <c:pt idx="1188">
                  <c:v>38059</c:v>
                </c:pt>
                <c:pt idx="1189">
                  <c:v>32540</c:v>
                </c:pt>
                <c:pt idx="1190">
                  <c:v>10870</c:v>
                </c:pt>
                <c:pt idx="1191">
                  <c:v>16801</c:v>
                </c:pt>
                <c:pt idx="1192">
                  <c:v>16466</c:v>
                </c:pt>
                <c:pt idx="1193">
                  <c:v>30427</c:v>
                </c:pt>
                <c:pt idx="1194">
                  <c:v>16284</c:v>
                </c:pt>
                <c:pt idx="1195">
                  <c:v>32249</c:v>
                </c:pt>
                <c:pt idx="1196">
                  <c:v>51244</c:v>
                </c:pt>
                <c:pt idx="1197">
                  <c:v>62580</c:v>
                </c:pt>
                <c:pt idx="1198">
                  <c:v>41221</c:v>
                </c:pt>
                <c:pt idx="1199">
                  <c:v>41644</c:v>
                </c:pt>
                <c:pt idx="1200">
                  <c:v>83804</c:v>
                </c:pt>
                <c:pt idx="1201">
                  <c:v>49657</c:v>
                </c:pt>
                <c:pt idx="1202">
                  <c:v>36527</c:v>
                </c:pt>
                <c:pt idx="1203">
                  <c:v>52229</c:v>
                </c:pt>
                <c:pt idx="1204">
                  <c:v>70239</c:v>
                </c:pt>
                <c:pt idx="1205">
                  <c:v>55174</c:v>
                </c:pt>
                <c:pt idx="1206">
                  <c:v>73266</c:v>
                </c:pt>
                <c:pt idx="1207">
                  <c:v>74737</c:v>
                </c:pt>
                <c:pt idx="1208">
                  <c:v>37650</c:v>
                </c:pt>
                <c:pt idx="1209">
                  <c:v>95168</c:v>
                </c:pt>
                <c:pt idx="1210">
                  <c:v>46935</c:v>
                </c:pt>
                <c:pt idx="1211">
                  <c:v>80889</c:v>
                </c:pt>
                <c:pt idx="1212">
                  <c:v>30455</c:v>
                </c:pt>
                <c:pt idx="1213">
                  <c:v>19580</c:v>
                </c:pt>
                <c:pt idx="1214">
                  <c:v>21589</c:v>
                </c:pt>
              </c:numCache>
            </c:numRef>
          </c:val>
          <c:extLst>
            <c:ext xmlns:c16="http://schemas.microsoft.com/office/drawing/2014/chart" uri="{C3380CC4-5D6E-409C-BE32-E72D297353CC}">
              <c16:uniqueId val="{00000000-776F-4BC4-87AA-A0D8F6410141}"/>
            </c:ext>
          </c:extLst>
        </c:ser>
        <c:dLbls>
          <c:showLegendKey val="0"/>
          <c:showVal val="0"/>
          <c:showCatName val="0"/>
          <c:showSerName val="0"/>
          <c:showPercent val="0"/>
          <c:showBubbleSize val="0"/>
        </c:dLbls>
        <c:gapWidth val="100"/>
        <c:overlap val="-24"/>
        <c:axId val="70166656"/>
        <c:axId val="70154176"/>
      </c:barChart>
      <c:dateAx>
        <c:axId val="70166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154176"/>
        <c:crosses val="autoZero"/>
        <c:auto val="1"/>
        <c:lblOffset val="100"/>
        <c:baseTimeUnit val="days"/>
      </c:dateAx>
      <c:valAx>
        <c:axId val="70154176"/>
        <c:scaling>
          <c:orientation val="minMax"/>
          <c:max val="450000"/>
          <c:min val="10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166656"/>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Input!$D$10</c:f>
              <c:strCache>
                <c:ptCount val="1"/>
                <c:pt idx="0">
                  <c:v>Adj Close </c:v>
                </c:pt>
              </c:strCache>
            </c:strRef>
          </c:tx>
          <c:spPr>
            <a:ln w="28575" cap="rnd">
              <a:solidFill>
                <a:srgbClr val="002060"/>
              </a:solidFill>
              <a:round/>
            </a:ln>
            <a:effectLst/>
          </c:spPr>
          <c:marker>
            <c:symbol val="none"/>
          </c:marker>
          <c:cat>
            <c:numRef>
              <c:f>Input!$C$12:$C$1225</c:f>
              <c:numCache>
                <c:formatCode>dd\-mm\-yyyy</c:formatCode>
                <c:ptCount val="1214"/>
                <c:pt idx="0">
                  <c:v>46113</c:v>
                </c:pt>
                <c:pt idx="1">
                  <c:v>46111</c:v>
                </c:pt>
                <c:pt idx="2">
                  <c:v>46108</c:v>
                </c:pt>
                <c:pt idx="3">
                  <c:v>46106</c:v>
                </c:pt>
                <c:pt idx="4">
                  <c:v>46105</c:v>
                </c:pt>
                <c:pt idx="5">
                  <c:v>46104</c:v>
                </c:pt>
                <c:pt idx="6">
                  <c:v>46100</c:v>
                </c:pt>
                <c:pt idx="7">
                  <c:v>46099</c:v>
                </c:pt>
                <c:pt idx="8">
                  <c:v>46101</c:v>
                </c:pt>
                <c:pt idx="11">
                  <c:v>46098</c:v>
                </c:pt>
                <c:pt idx="12">
                  <c:v>46097</c:v>
                </c:pt>
                <c:pt idx="13">
                  <c:v>46094</c:v>
                </c:pt>
                <c:pt idx="14">
                  <c:v>46093</c:v>
                </c:pt>
                <c:pt idx="15">
                  <c:v>46091</c:v>
                </c:pt>
                <c:pt idx="16">
                  <c:v>46090</c:v>
                </c:pt>
                <c:pt idx="17">
                  <c:v>46087</c:v>
                </c:pt>
                <c:pt idx="18">
                  <c:v>46086</c:v>
                </c:pt>
                <c:pt idx="19">
                  <c:v>46085</c:v>
                </c:pt>
                <c:pt idx="20">
                  <c:v>46083</c:v>
                </c:pt>
                <c:pt idx="21">
                  <c:v>46080</c:v>
                </c:pt>
                <c:pt idx="22">
                  <c:v>46079</c:v>
                </c:pt>
                <c:pt idx="23">
                  <c:v>46078</c:v>
                </c:pt>
                <c:pt idx="24">
                  <c:v>46077</c:v>
                </c:pt>
                <c:pt idx="25">
                  <c:v>46076</c:v>
                </c:pt>
                <c:pt idx="26">
                  <c:v>46073</c:v>
                </c:pt>
                <c:pt idx="27">
                  <c:v>46072</c:v>
                </c:pt>
                <c:pt idx="28">
                  <c:v>46071</c:v>
                </c:pt>
                <c:pt idx="29">
                  <c:v>46070</c:v>
                </c:pt>
                <c:pt idx="30">
                  <c:v>46069</c:v>
                </c:pt>
                <c:pt idx="31">
                  <c:v>46066</c:v>
                </c:pt>
                <c:pt idx="32">
                  <c:v>46065</c:v>
                </c:pt>
                <c:pt idx="33">
                  <c:v>46064</c:v>
                </c:pt>
                <c:pt idx="34">
                  <c:v>46063</c:v>
                </c:pt>
                <c:pt idx="35">
                  <c:v>46062</c:v>
                </c:pt>
                <c:pt idx="36">
                  <c:v>46059</c:v>
                </c:pt>
                <c:pt idx="37">
                  <c:v>46058</c:v>
                </c:pt>
                <c:pt idx="38">
                  <c:v>46057</c:v>
                </c:pt>
                <c:pt idx="39">
                  <c:v>46056</c:v>
                </c:pt>
                <c:pt idx="40">
                  <c:v>46055</c:v>
                </c:pt>
                <c:pt idx="41">
                  <c:v>46052</c:v>
                </c:pt>
                <c:pt idx="42">
                  <c:v>46051</c:v>
                </c:pt>
                <c:pt idx="43">
                  <c:v>46050</c:v>
                </c:pt>
                <c:pt idx="44">
                  <c:v>46049</c:v>
                </c:pt>
                <c:pt idx="45">
                  <c:v>46045</c:v>
                </c:pt>
                <c:pt idx="46">
                  <c:v>46044</c:v>
                </c:pt>
                <c:pt idx="47">
                  <c:v>46043</c:v>
                </c:pt>
                <c:pt idx="48">
                  <c:v>46042</c:v>
                </c:pt>
                <c:pt idx="49">
                  <c:v>46041</c:v>
                </c:pt>
                <c:pt idx="50">
                  <c:v>46038</c:v>
                </c:pt>
                <c:pt idx="51">
                  <c:v>46036</c:v>
                </c:pt>
                <c:pt idx="52">
                  <c:v>46035</c:v>
                </c:pt>
                <c:pt idx="53">
                  <c:v>46034</c:v>
                </c:pt>
                <c:pt idx="54">
                  <c:v>46031</c:v>
                </c:pt>
                <c:pt idx="55">
                  <c:v>46030</c:v>
                </c:pt>
                <c:pt idx="56">
                  <c:v>46029</c:v>
                </c:pt>
                <c:pt idx="57">
                  <c:v>46028</c:v>
                </c:pt>
                <c:pt idx="58">
                  <c:v>46027</c:v>
                </c:pt>
                <c:pt idx="59">
                  <c:v>46024</c:v>
                </c:pt>
                <c:pt idx="60">
                  <c:v>46023</c:v>
                </c:pt>
                <c:pt idx="61">
                  <c:v>46022</c:v>
                </c:pt>
                <c:pt idx="62">
                  <c:v>46021</c:v>
                </c:pt>
                <c:pt idx="63">
                  <c:v>46020</c:v>
                </c:pt>
                <c:pt idx="64">
                  <c:v>46017</c:v>
                </c:pt>
                <c:pt idx="65">
                  <c:v>46015</c:v>
                </c:pt>
                <c:pt idx="66">
                  <c:v>46014</c:v>
                </c:pt>
                <c:pt idx="67">
                  <c:v>46013</c:v>
                </c:pt>
                <c:pt idx="68">
                  <c:v>46010</c:v>
                </c:pt>
                <c:pt idx="69">
                  <c:v>46009</c:v>
                </c:pt>
                <c:pt idx="70">
                  <c:v>46008</c:v>
                </c:pt>
                <c:pt idx="71">
                  <c:v>46007</c:v>
                </c:pt>
                <c:pt idx="72">
                  <c:v>46006</c:v>
                </c:pt>
                <c:pt idx="73">
                  <c:v>46003</c:v>
                </c:pt>
                <c:pt idx="74">
                  <c:v>46002</c:v>
                </c:pt>
                <c:pt idx="75">
                  <c:v>46001</c:v>
                </c:pt>
                <c:pt idx="76">
                  <c:v>46000</c:v>
                </c:pt>
                <c:pt idx="77">
                  <c:v>45999</c:v>
                </c:pt>
                <c:pt idx="78">
                  <c:v>45996</c:v>
                </c:pt>
                <c:pt idx="79">
                  <c:v>45995</c:v>
                </c:pt>
                <c:pt idx="80">
                  <c:v>45994</c:v>
                </c:pt>
                <c:pt idx="81">
                  <c:v>45993</c:v>
                </c:pt>
                <c:pt idx="82">
                  <c:v>45992</c:v>
                </c:pt>
                <c:pt idx="83">
                  <c:v>45989</c:v>
                </c:pt>
                <c:pt idx="84">
                  <c:v>45988</c:v>
                </c:pt>
                <c:pt idx="85">
                  <c:v>45987</c:v>
                </c:pt>
                <c:pt idx="86">
                  <c:v>45986</c:v>
                </c:pt>
                <c:pt idx="87">
                  <c:v>45985</c:v>
                </c:pt>
                <c:pt idx="88">
                  <c:v>45982</c:v>
                </c:pt>
                <c:pt idx="89">
                  <c:v>45981</c:v>
                </c:pt>
                <c:pt idx="90">
                  <c:v>45980</c:v>
                </c:pt>
                <c:pt idx="91">
                  <c:v>45979</c:v>
                </c:pt>
                <c:pt idx="92">
                  <c:v>45978</c:v>
                </c:pt>
                <c:pt idx="93">
                  <c:v>45975</c:v>
                </c:pt>
                <c:pt idx="94">
                  <c:v>45974</c:v>
                </c:pt>
                <c:pt idx="95">
                  <c:v>45973</c:v>
                </c:pt>
                <c:pt idx="96">
                  <c:v>45972</c:v>
                </c:pt>
                <c:pt idx="97">
                  <c:v>45971</c:v>
                </c:pt>
                <c:pt idx="98">
                  <c:v>45968</c:v>
                </c:pt>
                <c:pt idx="99">
                  <c:v>45967</c:v>
                </c:pt>
                <c:pt idx="100">
                  <c:v>45965</c:v>
                </c:pt>
                <c:pt idx="101">
                  <c:v>45964</c:v>
                </c:pt>
                <c:pt idx="102">
                  <c:v>45961</c:v>
                </c:pt>
                <c:pt idx="103">
                  <c:v>45960</c:v>
                </c:pt>
                <c:pt idx="104">
                  <c:v>45959</c:v>
                </c:pt>
                <c:pt idx="105">
                  <c:v>45958</c:v>
                </c:pt>
                <c:pt idx="106">
                  <c:v>45957</c:v>
                </c:pt>
                <c:pt idx="107">
                  <c:v>45954</c:v>
                </c:pt>
                <c:pt idx="108">
                  <c:v>45953</c:v>
                </c:pt>
                <c:pt idx="109">
                  <c:v>45951</c:v>
                </c:pt>
                <c:pt idx="110">
                  <c:v>45950</c:v>
                </c:pt>
                <c:pt idx="111">
                  <c:v>45947</c:v>
                </c:pt>
                <c:pt idx="112">
                  <c:v>45946</c:v>
                </c:pt>
                <c:pt idx="113">
                  <c:v>45945</c:v>
                </c:pt>
                <c:pt idx="114">
                  <c:v>45944</c:v>
                </c:pt>
                <c:pt idx="115">
                  <c:v>45943</c:v>
                </c:pt>
                <c:pt idx="116">
                  <c:v>45940</c:v>
                </c:pt>
                <c:pt idx="117">
                  <c:v>45939</c:v>
                </c:pt>
                <c:pt idx="118">
                  <c:v>45938</c:v>
                </c:pt>
                <c:pt idx="119">
                  <c:v>45937</c:v>
                </c:pt>
                <c:pt idx="120">
                  <c:v>45936</c:v>
                </c:pt>
                <c:pt idx="121">
                  <c:v>45933</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45895</c:v>
                </c:pt>
                <c:pt idx="148">
                  <c:v>45894</c:v>
                </c:pt>
                <c:pt idx="149">
                  <c:v>45891</c:v>
                </c:pt>
                <c:pt idx="150">
                  <c:v>45890</c:v>
                </c:pt>
                <c:pt idx="151">
                  <c:v>45889</c:v>
                </c:pt>
                <c:pt idx="152">
                  <c:v>45888</c:v>
                </c:pt>
                <c:pt idx="153">
                  <c:v>45887</c:v>
                </c:pt>
                <c:pt idx="154">
                  <c:v>45883</c:v>
                </c:pt>
                <c:pt idx="155">
                  <c:v>45882</c:v>
                </c:pt>
                <c:pt idx="156">
                  <c:v>45881</c:v>
                </c:pt>
                <c:pt idx="157">
                  <c:v>45880</c:v>
                </c:pt>
                <c:pt idx="158">
                  <c:v>45877</c:v>
                </c:pt>
                <c:pt idx="159">
                  <c:v>45876</c:v>
                </c:pt>
                <c:pt idx="160">
                  <c:v>45875</c:v>
                </c:pt>
                <c:pt idx="161">
                  <c:v>45874</c:v>
                </c:pt>
                <c:pt idx="162">
                  <c:v>45873</c:v>
                </c:pt>
                <c:pt idx="163">
                  <c:v>45870</c:v>
                </c:pt>
                <c:pt idx="164">
                  <c:v>45869</c:v>
                </c:pt>
                <c:pt idx="165">
                  <c:v>45868</c:v>
                </c:pt>
                <c:pt idx="166">
                  <c:v>45867</c:v>
                </c:pt>
                <c:pt idx="167">
                  <c:v>45866</c:v>
                </c:pt>
                <c:pt idx="168">
                  <c:v>45863</c:v>
                </c:pt>
                <c:pt idx="169">
                  <c:v>45862</c:v>
                </c:pt>
                <c:pt idx="170">
                  <c:v>45861</c:v>
                </c:pt>
                <c:pt idx="171">
                  <c:v>45860</c:v>
                </c:pt>
                <c:pt idx="172">
                  <c:v>45859</c:v>
                </c:pt>
                <c:pt idx="173">
                  <c:v>45856</c:v>
                </c:pt>
                <c:pt idx="174">
                  <c:v>45855</c:v>
                </c:pt>
                <c:pt idx="175">
                  <c:v>45854</c:v>
                </c:pt>
                <c:pt idx="176">
                  <c:v>45853</c:v>
                </c:pt>
                <c:pt idx="177">
                  <c:v>45852</c:v>
                </c:pt>
                <c:pt idx="178">
                  <c:v>45849</c:v>
                </c:pt>
                <c:pt idx="179">
                  <c:v>45848</c:v>
                </c:pt>
                <c:pt idx="180">
                  <c:v>45847</c:v>
                </c:pt>
                <c:pt idx="181">
                  <c:v>45846</c:v>
                </c:pt>
                <c:pt idx="182">
                  <c:v>45845</c:v>
                </c:pt>
                <c:pt idx="183">
                  <c:v>45842</c:v>
                </c:pt>
                <c:pt idx="184">
                  <c:v>45841</c:v>
                </c:pt>
                <c:pt idx="185">
                  <c:v>45840</c:v>
                </c:pt>
                <c:pt idx="186">
                  <c:v>45839</c:v>
                </c:pt>
                <c:pt idx="187">
                  <c:v>45838</c:v>
                </c:pt>
                <c:pt idx="188">
                  <c:v>45835</c:v>
                </c:pt>
                <c:pt idx="189">
                  <c:v>45834</c:v>
                </c:pt>
                <c:pt idx="190">
                  <c:v>45833</c:v>
                </c:pt>
                <c:pt idx="191">
                  <c:v>45832</c:v>
                </c:pt>
                <c:pt idx="192">
                  <c:v>45831</c:v>
                </c:pt>
                <c:pt idx="193">
                  <c:v>45828</c:v>
                </c:pt>
                <c:pt idx="194">
                  <c:v>45827</c:v>
                </c:pt>
                <c:pt idx="195">
                  <c:v>45826</c:v>
                </c:pt>
                <c:pt idx="196">
                  <c:v>45825</c:v>
                </c:pt>
                <c:pt idx="197">
                  <c:v>45824</c:v>
                </c:pt>
                <c:pt idx="198">
                  <c:v>45821</c:v>
                </c:pt>
                <c:pt idx="199">
                  <c:v>45820</c:v>
                </c:pt>
                <c:pt idx="200">
                  <c:v>45819</c:v>
                </c:pt>
                <c:pt idx="201">
                  <c:v>45818</c:v>
                </c:pt>
                <c:pt idx="202">
                  <c:v>45817</c:v>
                </c:pt>
                <c:pt idx="203">
                  <c:v>45814</c:v>
                </c:pt>
                <c:pt idx="204">
                  <c:v>45813</c:v>
                </c:pt>
                <c:pt idx="205">
                  <c:v>45812</c:v>
                </c:pt>
                <c:pt idx="206">
                  <c:v>45811</c:v>
                </c:pt>
                <c:pt idx="207">
                  <c:v>45810</c:v>
                </c:pt>
                <c:pt idx="208">
                  <c:v>45807</c:v>
                </c:pt>
                <c:pt idx="209">
                  <c:v>45806</c:v>
                </c:pt>
                <c:pt idx="210">
                  <c:v>45805</c:v>
                </c:pt>
                <c:pt idx="211">
                  <c:v>45804</c:v>
                </c:pt>
                <c:pt idx="212">
                  <c:v>45803</c:v>
                </c:pt>
                <c:pt idx="213">
                  <c:v>45800</c:v>
                </c:pt>
                <c:pt idx="214">
                  <c:v>45799</c:v>
                </c:pt>
                <c:pt idx="215">
                  <c:v>45798</c:v>
                </c:pt>
                <c:pt idx="216">
                  <c:v>45797</c:v>
                </c:pt>
                <c:pt idx="217">
                  <c:v>45796</c:v>
                </c:pt>
                <c:pt idx="218">
                  <c:v>45793</c:v>
                </c:pt>
                <c:pt idx="219">
                  <c:v>45792</c:v>
                </c:pt>
                <c:pt idx="220">
                  <c:v>45791</c:v>
                </c:pt>
                <c:pt idx="221">
                  <c:v>45790</c:v>
                </c:pt>
                <c:pt idx="222">
                  <c:v>45789</c:v>
                </c:pt>
                <c:pt idx="223">
                  <c:v>45786</c:v>
                </c:pt>
                <c:pt idx="224">
                  <c:v>45785</c:v>
                </c:pt>
                <c:pt idx="225">
                  <c:v>45784</c:v>
                </c:pt>
                <c:pt idx="226">
                  <c:v>45783</c:v>
                </c:pt>
                <c:pt idx="227">
                  <c:v>45782</c:v>
                </c:pt>
                <c:pt idx="228">
                  <c:v>45779</c:v>
                </c:pt>
                <c:pt idx="229">
                  <c:v>45777</c:v>
                </c:pt>
                <c:pt idx="230">
                  <c:v>45776</c:v>
                </c:pt>
                <c:pt idx="231">
                  <c:v>45775</c:v>
                </c:pt>
                <c:pt idx="232">
                  <c:v>45772</c:v>
                </c:pt>
                <c:pt idx="233">
                  <c:v>45771</c:v>
                </c:pt>
                <c:pt idx="234">
                  <c:v>45770</c:v>
                </c:pt>
                <c:pt idx="235">
                  <c:v>45769</c:v>
                </c:pt>
                <c:pt idx="236">
                  <c:v>45768</c:v>
                </c:pt>
                <c:pt idx="237">
                  <c:v>45764</c:v>
                </c:pt>
                <c:pt idx="238">
                  <c:v>45763</c:v>
                </c:pt>
                <c:pt idx="239">
                  <c:v>45762</c:v>
                </c:pt>
                <c:pt idx="240">
                  <c:v>45758</c:v>
                </c:pt>
                <c:pt idx="241">
                  <c:v>45756</c:v>
                </c:pt>
                <c:pt idx="242">
                  <c:v>45755</c:v>
                </c:pt>
                <c:pt idx="243">
                  <c:v>45754</c:v>
                </c:pt>
                <c:pt idx="244">
                  <c:v>45751</c:v>
                </c:pt>
                <c:pt idx="245">
                  <c:v>45750</c:v>
                </c:pt>
                <c:pt idx="246">
                  <c:v>45749</c:v>
                </c:pt>
                <c:pt idx="247">
                  <c:v>45748</c:v>
                </c:pt>
                <c:pt idx="248">
                  <c:v>45744</c:v>
                </c:pt>
                <c:pt idx="249">
                  <c:v>45743</c:v>
                </c:pt>
                <c:pt idx="250">
                  <c:v>45742</c:v>
                </c:pt>
                <c:pt idx="251">
                  <c:v>45741</c:v>
                </c:pt>
                <c:pt idx="252">
                  <c:v>45740</c:v>
                </c:pt>
                <c:pt idx="253">
                  <c:v>45737</c:v>
                </c:pt>
                <c:pt idx="254">
                  <c:v>45736</c:v>
                </c:pt>
                <c:pt idx="255">
                  <c:v>45735</c:v>
                </c:pt>
                <c:pt idx="256">
                  <c:v>45734</c:v>
                </c:pt>
                <c:pt idx="257">
                  <c:v>45733</c:v>
                </c:pt>
                <c:pt idx="258">
                  <c:v>45729</c:v>
                </c:pt>
                <c:pt idx="259">
                  <c:v>45728</c:v>
                </c:pt>
                <c:pt idx="260">
                  <c:v>45727</c:v>
                </c:pt>
                <c:pt idx="261">
                  <c:v>45726</c:v>
                </c:pt>
                <c:pt idx="262">
                  <c:v>45723</c:v>
                </c:pt>
                <c:pt idx="263">
                  <c:v>45722</c:v>
                </c:pt>
                <c:pt idx="264">
                  <c:v>45721</c:v>
                </c:pt>
                <c:pt idx="265">
                  <c:v>45720</c:v>
                </c:pt>
                <c:pt idx="266">
                  <c:v>45719</c:v>
                </c:pt>
                <c:pt idx="267">
                  <c:v>45716</c:v>
                </c:pt>
                <c:pt idx="268">
                  <c:v>45715</c:v>
                </c:pt>
                <c:pt idx="269">
                  <c:v>45713</c:v>
                </c:pt>
                <c:pt idx="270">
                  <c:v>45712</c:v>
                </c:pt>
                <c:pt idx="271">
                  <c:v>45709</c:v>
                </c:pt>
                <c:pt idx="272">
                  <c:v>45708</c:v>
                </c:pt>
                <c:pt idx="273">
                  <c:v>45707</c:v>
                </c:pt>
                <c:pt idx="274">
                  <c:v>45706</c:v>
                </c:pt>
                <c:pt idx="275">
                  <c:v>45705</c:v>
                </c:pt>
                <c:pt idx="276">
                  <c:v>45702</c:v>
                </c:pt>
                <c:pt idx="277">
                  <c:v>45701</c:v>
                </c:pt>
                <c:pt idx="278">
                  <c:v>45700</c:v>
                </c:pt>
                <c:pt idx="279">
                  <c:v>45699</c:v>
                </c:pt>
                <c:pt idx="280">
                  <c:v>45698</c:v>
                </c:pt>
                <c:pt idx="281">
                  <c:v>45695</c:v>
                </c:pt>
                <c:pt idx="282">
                  <c:v>45694</c:v>
                </c:pt>
                <c:pt idx="283">
                  <c:v>45693</c:v>
                </c:pt>
                <c:pt idx="284">
                  <c:v>45692</c:v>
                </c:pt>
                <c:pt idx="285">
                  <c:v>45691</c:v>
                </c:pt>
                <c:pt idx="286">
                  <c:v>45689</c:v>
                </c:pt>
                <c:pt idx="287">
                  <c:v>45688</c:v>
                </c:pt>
                <c:pt idx="288">
                  <c:v>45687</c:v>
                </c:pt>
                <c:pt idx="289">
                  <c:v>45686</c:v>
                </c:pt>
                <c:pt idx="290">
                  <c:v>45685</c:v>
                </c:pt>
                <c:pt idx="291">
                  <c:v>45684</c:v>
                </c:pt>
                <c:pt idx="292">
                  <c:v>45681</c:v>
                </c:pt>
                <c:pt idx="293">
                  <c:v>45680</c:v>
                </c:pt>
                <c:pt idx="294">
                  <c:v>45679</c:v>
                </c:pt>
                <c:pt idx="295">
                  <c:v>45678</c:v>
                </c:pt>
                <c:pt idx="296">
                  <c:v>45677</c:v>
                </c:pt>
                <c:pt idx="297">
                  <c:v>45674</c:v>
                </c:pt>
                <c:pt idx="298">
                  <c:v>45673</c:v>
                </c:pt>
                <c:pt idx="299">
                  <c:v>45672</c:v>
                </c:pt>
                <c:pt idx="300">
                  <c:v>45671</c:v>
                </c:pt>
                <c:pt idx="301">
                  <c:v>45670</c:v>
                </c:pt>
                <c:pt idx="302">
                  <c:v>45667</c:v>
                </c:pt>
                <c:pt idx="303">
                  <c:v>45666</c:v>
                </c:pt>
                <c:pt idx="304">
                  <c:v>45665</c:v>
                </c:pt>
                <c:pt idx="305">
                  <c:v>45664</c:v>
                </c:pt>
                <c:pt idx="306">
                  <c:v>45663</c:v>
                </c:pt>
                <c:pt idx="307">
                  <c:v>45660</c:v>
                </c:pt>
                <c:pt idx="308">
                  <c:v>45659</c:v>
                </c:pt>
                <c:pt idx="309">
                  <c:v>45658</c:v>
                </c:pt>
                <c:pt idx="310">
                  <c:v>45657</c:v>
                </c:pt>
                <c:pt idx="311">
                  <c:v>45656</c:v>
                </c:pt>
                <c:pt idx="312">
                  <c:v>45653</c:v>
                </c:pt>
                <c:pt idx="313">
                  <c:v>45652</c:v>
                </c:pt>
                <c:pt idx="314">
                  <c:v>45650</c:v>
                </c:pt>
                <c:pt idx="315">
                  <c:v>45649</c:v>
                </c:pt>
                <c:pt idx="316">
                  <c:v>45646</c:v>
                </c:pt>
                <c:pt idx="317">
                  <c:v>45645</c:v>
                </c:pt>
                <c:pt idx="318">
                  <c:v>45644</c:v>
                </c:pt>
                <c:pt idx="319">
                  <c:v>45643</c:v>
                </c:pt>
                <c:pt idx="320">
                  <c:v>45642</c:v>
                </c:pt>
                <c:pt idx="321">
                  <c:v>45639</c:v>
                </c:pt>
                <c:pt idx="322">
                  <c:v>45638</c:v>
                </c:pt>
                <c:pt idx="323">
                  <c:v>45637</c:v>
                </c:pt>
                <c:pt idx="324">
                  <c:v>45636</c:v>
                </c:pt>
                <c:pt idx="325">
                  <c:v>45635</c:v>
                </c:pt>
                <c:pt idx="326">
                  <c:v>45632</c:v>
                </c:pt>
                <c:pt idx="327">
                  <c:v>45631</c:v>
                </c:pt>
                <c:pt idx="328">
                  <c:v>45630</c:v>
                </c:pt>
                <c:pt idx="329">
                  <c:v>45629</c:v>
                </c:pt>
                <c:pt idx="330">
                  <c:v>45628</c:v>
                </c:pt>
                <c:pt idx="331">
                  <c:v>45625</c:v>
                </c:pt>
                <c:pt idx="332">
                  <c:v>45624</c:v>
                </c:pt>
                <c:pt idx="333">
                  <c:v>45623</c:v>
                </c:pt>
                <c:pt idx="334">
                  <c:v>45622</c:v>
                </c:pt>
                <c:pt idx="335">
                  <c:v>45621</c:v>
                </c:pt>
                <c:pt idx="336">
                  <c:v>45618</c:v>
                </c:pt>
                <c:pt idx="337">
                  <c:v>45617</c:v>
                </c:pt>
                <c:pt idx="338">
                  <c:v>45615</c:v>
                </c:pt>
                <c:pt idx="339">
                  <c:v>45614</c:v>
                </c:pt>
                <c:pt idx="340">
                  <c:v>45610</c:v>
                </c:pt>
                <c:pt idx="341">
                  <c:v>45609</c:v>
                </c:pt>
                <c:pt idx="342">
                  <c:v>45608</c:v>
                </c:pt>
                <c:pt idx="343">
                  <c:v>45607</c:v>
                </c:pt>
                <c:pt idx="344">
                  <c:v>45604</c:v>
                </c:pt>
                <c:pt idx="345">
                  <c:v>45603</c:v>
                </c:pt>
                <c:pt idx="346">
                  <c:v>45602</c:v>
                </c:pt>
                <c:pt idx="347">
                  <c:v>45600</c:v>
                </c:pt>
                <c:pt idx="348">
                  <c:v>45597</c:v>
                </c:pt>
                <c:pt idx="349">
                  <c:v>45596</c:v>
                </c:pt>
                <c:pt idx="350">
                  <c:v>45594</c:v>
                </c:pt>
                <c:pt idx="351">
                  <c:v>45593</c:v>
                </c:pt>
                <c:pt idx="352">
                  <c:v>45590</c:v>
                </c:pt>
                <c:pt idx="353">
                  <c:v>45589</c:v>
                </c:pt>
                <c:pt idx="354">
                  <c:v>45588</c:v>
                </c:pt>
                <c:pt idx="355">
                  <c:v>45587</c:v>
                </c:pt>
                <c:pt idx="356">
                  <c:v>45586</c:v>
                </c:pt>
                <c:pt idx="357">
                  <c:v>45583</c:v>
                </c:pt>
                <c:pt idx="358">
                  <c:v>45582</c:v>
                </c:pt>
                <c:pt idx="359">
                  <c:v>45581</c:v>
                </c:pt>
                <c:pt idx="360">
                  <c:v>45580</c:v>
                </c:pt>
                <c:pt idx="361">
                  <c:v>45579</c:v>
                </c:pt>
                <c:pt idx="362">
                  <c:v>45576</c:v>
                </c:pt>
                <c:pt idx="363">
                  <c:v>45575</c:v>
                </c:pt>
                <c:pt idx="364">
                  <c:v>45574</c:v>
                </c:pt>
                <c:pt idx="365">
                  <c:v>45573</c:v>
                </c:pt>
                <c:pt idx="366">
                  <c:v>45572</c:v>
                </c:pt>
                <c:pt idx="367">
                  <c:v>45569</c:v>
                </c:pt>
                <c:pt idx="368">
                  <c:v>45568</c:v>
                </c:pt>
                <c:pt idx="369">
                  <c:v>45566</c:v>
                </c:pt>
                <c:pt idx="370">
                  <c:v>45565</c:v>
                </c:pt>
                <c:pt idx="371">
                  <c:v>45562</c:v>
                </c:pt>
                <c:pt idx="372">
                  <c:v>45561</c:v>
                </c:pt>
                <c:pt idx="373">
                  <c:v>45560</c:v>
                </c:pt>
                <c:pt idx="374">
                  <c:v>45559</c:v>
                </c:pt>
                <c:pt idx="375">
                  <c:v>45558</c:v>
                </c:pt>
                <c:pt idx="376">
                  <c:v>45555</c:v>
                </c:pt>
                <c:pt idx="377">
                  <c:v>45554</c:v>
                </c:pt>
                <c:pt idx="378">
                  <c:v>45553</c:v>
                </c:pt>
                <c:pt idx="379">
                  <c:v>45552</c:v>
                </c:pt>
                <c:pt idx="380">
                  <c:v>45551</c:v>
                </c:pt>
                <c:pt idx="381">
                  <c:v>45548</c:v>
                </c:pt>
                <c:pt idx="382">
                  <c:v>45547</c:v>
                </c:pt>
                <c:pt idx="383">
                  <c:v>45546</c:v>
                </c:pt>
                <c:pt idx="384">
                  <c:v>45545</c:v>
                </c:pt>
                <c:pt idx="385">
                  <c:v>45544</c:v>
                </c:pt>
                <c:pt idx="386">
                  <c:v>45541</c:v>
                </c:pt>
                <c:pt idx="387">
                  <c:v>45540</c:v>
                </c:pt>
                <c:pt idx="388">
                  <c:v>45539</c:v>
                </c:pt>
                <c:pt idx="389">
                  <c:v>45538</c:v>
                </c:pt>
                <c:pt idx="390">
                  <c:v>45537</c:v>
                </c:pt>
                <c:pt idx="391">
                  <c:v>45534</c:v>
                </c:pt>
                <c:pt idx="392">
                  <c:v>45533</c:v>
                </c:pt>
                <c:pt idx="393">
                  <c:v>45532</c:v>
                </c:pt>
                <c:pt idx="394">
                  <c:v>45530</c:v>
                </c:pt>
                <c:pt idx="395">
                  <c:v>45527</c:v>
                </c:pt>
                <c:pt idx="396">
                  <c:v>45526</c:v>
                </c:pt>
                <c:pt idx="397">
                  <c:v>45525</c:v>
                </c:pt>
                <c:pt idx="398">
                  <c:v>45524</c:v>
                </c:pt>
                <c:pt idx="399">
                  <c:v>45523</c:v>
                </c:pt>
                <c:pt idx="400">
                  <c:v>45520</c:v>
                </c:pt>
                <c:pt idx="401">
                  <c:v>45518</c:v>
                </c:pt>
                <c:pt idx="402">
                  <c:v>45517</c:v>
                </c:pt>
                <c:pt idx="403">
                  <c:v>45516</c:v>
                </c:pt>
                <c:pt idx="404">
                  <c:v>45513</c:v>
                </c:pt>
                <c:pt idx="405">
                  <c:v>45512</c:v>
                </c:pt>
                <c:pt idx="406">
                  <c:v>45511</c:v>
                </c:pt>
                <c:pt idx="407">
                  <c:v>45510</c:v>
                </c:pt>
                <c:pt idx="408">
                  <c:v>45509</c:v>
                </c:pt>
                <c:pt idx="409">
                  <c:v>45506</c:v>
                </c:pt>
                <c:pt idx="410">
                  <c:v>45505</c:v>
                </c:pt>
                <c:pt idx="411">
                  <c:v>45504</c:v>
                </c:pt>
                <c:pt idx="412">
                  <c:v>45503</c:v>
                </c:pt>
                <c:pt idx="413">
                  <c:v>45502</c:v>
                </c:pt>
                <c:pt idx="414">
                  <c:v>45499</c:v>
                </c:pt>
                <c:pt idx="415">
                  <c:v>45498</c:v>
                </c:pt>
                <c:pt idx="416">
                  <c:v>45497</c:v>
                </c:pt>
                <c:pt idx="417">
                  <c:v>45496</c:v>
                </c:pt>
                <c:pt idx="418">
                  <c:v>45495</c:v>
                </c:pt>
                <c:pt idx="419">
                  <c:v>45492</c:v>
                </c:pt>
                <c:pt idx="420">
                  <c:v>45491</c:v>
                </c:pt>
                <c:pt idx="421">
                  <c:v>45489</c:v>
                </c:pt>
                <c:pt idx="422">
                  <c:v>45488</c:v>
                </c:pt>
                <c:pt idx="423">
                  <c:v>45485</c:v>
                </c:pt>
                <c:pt idx="424">
                  <c:v>45484</c:v>
                </c:pt>
                <c:pt idx="425">
                  <c:v>45483</c:v>
                </c:pt>
                <c:pt idx="426">
                  <c:v>45482</c:v>
                </c:pt>
                <c:pt idx="427">
                  <c:v>45481</c:v>
                </c:pt>
                <c:pt idx="428">
                  <c:v>45478</c:v>
                </c:pt>
                <c:pt idx="429">
                  <c:v>45477</c:v>
                </c:pt>
                <c:pt idx="430">
                  <c:v>45476</c:v>
                </c:pt>
                <c:pt idx="431">
                  <c:v>45475</c:v>
                </c:pt>
                <c:pt idx="432">
                  <c:v>45474</c:v>
                </c:pt>
                <c:pt idx="433">
                  <c:v>45471</c:v>
                </c:pt>
                <c:pt idx="434">
                  <c:v>45470</c:v>
                </c:pt>
                <c:pt idx="435">
                  <c:v>45469</c:v>
                </c:pt>
                <c:pt idx="436">
                  <c:v>45468</c:v>
                </c:pt>
                <c:pt idx="437">
                  <c:v>45467</c:v>
                </c:pt>
                <c:pt idx="438">
                  <c:v>45464</c:v>
                </c:pt>
                <c:pt idx="439">
                  <c:v>45463</c:v>
                </c:pt>
                <c:pt idx="440">
                  <c:v>45462</c:v>
                </c:pt>
                <c:pt idx="441">
                  <c:v>45461</c:v>
                </c:pt>
                <c:pt idx="442">
                  <c:v>45457</c:v>
                </c:pt>
                <c:pt idx="443">
                  <c:v>45456</c:v>
                </c:pt>
                <c:pt idx="444">
                  <c:v>45455</c:v>
                </c:pt>
                <c:pt idx="445">
                  <c:v>45454</c:v>
                </c:pt>
                <c:pt idx="446">
                  <c:v>45453</c:v>
                </c:pt>
                <c:pt idx="447">
                  <c:v>45450</c:v>
                </c:pt>
                <c:pt idx="448">
                  <c:v>45449</c:v>
                </c:pt>
                <c:pt idx="449">
                  <c:v>45448</c:v>
                </c:pt>
                <c:pt idx="450">
                  <c:v>45447</c:v>
                </c:pt>
                <c:pt idx="451">
                  <c:v>45446</c:v>
                </c:pt>
                <c:pt idx="452">
                  <c:v>45443</c:v>
                </c:pt>
                <c:pt idx="453">
                  <c:v>45442</c:v>
                </c:pt>
                <c:pt idx="454">
                  <c:v>45441</c:v>
                </c:pt>
                <c:pt idx="455">
                  <c:v>45440</c:v>
                </c:pt>
                <c:pt idx="456">
                  <c:v>45439</c:v>
                </c:pt>
                <c:pt idx="457">
                  <c:v>45436</c:v>
                </c:pt>
                <c:pt idx="458">
                  <c:v>45435</c:v>
                </c:pt>
                <c:pt idx="459">
                  <c:v>45434</c:v>
                </c:pt>
                <c:pt idx="460">
                  <c:v>45433</c:v>
                </c:pt>
                <c:pt idx="461">
                  <c:v>45429</c:v>
                </c:pt>
                <c:pt idx="462">
                  <c:v>45428</c:v>
                </c:pt>
                <c:pt idx="463">
                  <c:v>45427</c:v>
                </c:pt>
                <c:pt idx="464">
                  <c:v>45426</c:v>
                </c:pt>
                <c:pt idx="465">
                  <c:v>45425</c:v>
                </c:pt>
                <c:pt idx="466">
                  <c:v>45422</c:v>
                </c:pt>
                <c:pt idx="467">
                  <c:v>45421</c:v>
                </c:pt>
                <c:pt idx="468">
                  <c:v>45420</c:v>
                </c:pt>
                <c:pt idx="469">
                  <c:v>45419</c:v>
                </c:pt>
                <c:pt idx="470">
                  <c:v>45418</c:v>
                </c:pt>
                <c:pt idx="471">
                  <c:v>45415</c:v>
                </c:pt>
                <c:pt idx="472">
                  <c:v>45414</c:v>
                </c:pt>
                <c:pt idx="473">
                  <c:v>45412</c:v>
                </c:pt>
                <c:pt idx="474">
                  <c:v>45411</c:v>
                </c:pt>
                <c:pt idx="475">
                  <c:v>45408</c:v>
                </c:pt>
                <c:pt idx="476">
                  <c:v>45407</c:v>
                </c:pt>
                <c:pt idx="477">
                  <c:v>45406</c:v>
                </c:pt>
                <c:pt idx="478">
                  <c:v>45405</c:v>
                </c:pt>
                <c:pt idx="479">
                  <c:v>45404</c:v>
                </c:pt>
                <c:pt idx="480">
                  <c:v>45401</c:v>
                </c:pt>
                <c:pt idx="481">
                  <c:v>45400</c:v>
                </c:pt>
                <c:pt idx="482">
                  <c:v>45398</c:v>
                </c:pt>
                <c:pt idx="483">
                  <c:v>45397</c:v>
                </c:pt>
                <c:pt idx="484">
                  <c:v>45394</c:v>
                </c:pt>
                <c:pt idx="485">
                  <c:v>45392</c:v>
                </c:pt>
                <c:pt idx="486">
                  <c:v>45391</c:v>
                </c:pt>
                <c:pt idx="487">
                  <c:v>45390</c:v>
                </c:pt>
                <c:pt idx="488">
                  <c:v>45387</c:v>
                </c:pt>
                <c:pt idx="489">
                  <c:v>45386</c:v>
                </c:pt>
                <c:pt idx="490">
                  <c:v>45385</c:v>
                </c:pt>
                <c:pt idx="491">
                  <c:v>45384</c:v>
                </c:pt>
                <c:pt idx="492">
                  <c:v>45383</c:v>
                </c:pt>
                <c:pt idx="493">
                  <c:v>45379</c:v>
                </c:pt>
                <c:pt idx="494">
                  <c:v>45378</c:v>
                </c:pt>
                <c:pt idx="495">
                  <c:v>45377</c:v>
                </c:pt>
                <c:pt idx="496">
                  <c:v>45373</c:v>
                </c:pt>
                <c:pt idx="497">
                  <c:v>45372</c:v>
                </c:pt>
                <c:pt idx="498">
                  <c:v>45371</c:v>
                </c:pt>
                <c:pt idx="499">
                  <c:v>45370</c:v>
                </c:pt>
                <c:pt idx="500">
                  <c:v>45369</c:v>
                </c:pt>
                <c:pt idx="501">
                  <c:v>45366</c:v>
                </c:pt>
                <c:pt idx="502">
                  <c:v>45365</c:v>
                </c:pt>
                <c:pt idx="503">
                  <c:v>45364</c:v>
                </c:pt>
                <c:pt idx="504">
                  <c:v>45363</c:v>
                </c:pt>
                <c:pt idx="505">
                  <c:v>45362</c:v>
                </c:pt>
                <c:pt idx="506">
                  <c:v>45358</c:v>
                </c:pt>
                <c:pt idx="507">
                  <c:v>45357</c:v>
                </c:pt>
                <c:pt idx="508">
                  <c:v>45356</c:v>
                </c:pt>
                <c:pt idx="509">
                  <c:v>45355</c:v>
                </c:pt>
                <c:pt idx="510">
                  <c:v>45352</c:v>
                </c:pt>
                <c:pt idx="511">
                  <c:v>45351</c:v>
                </c:pt>
                <c:pt idx="512">
                  <c:v>45350</c:v>
                </c:pt>
                <c:pt idx="513">
                  <c:v>45349</c:v>
                </c:pt>
                <c:pt idx="514">
                  <c:v>45348</c:v>
                </c:pt>
                <c:pt idx="515">
                  <c:v>45345</c:v>
                </c:pt>
                <c:pt idx="516">
                  <c:v>45344</c:v>
                </c:pt>
                <c:pt idx="517">
                  <c:v>45343</c:v>
                </c:pt>
                <c:pt idx="518">
                  <c:v>45342</c:v>
                </c:pt>
                <c:pt idx="519">
                  <c:v>45341</c:v>
                </c:pt>
                <c:pt idx="520">
                  <c:v>45338</c:v>
                </c:pt>
                <c:pt idx="521">
                  <c:v>45337</c:v>
                </c:pt>
                <c:pt idx="522">
                  <c:v>45336</c:v>
                </c:pt>
                <c:pt idx="523">
                  <c:v>45335</c:v>
                </c:pt>
                <c:pt idx="524">
                  <c:v>45334</c:v>
                </c:pt>
                <c:pt idx="525">
                  <c:v>45331</c:v>
                </c:pt>
                <c:pt idx="526">
                  <c:v>45330</c:v>
                </c:pt>
                <c:pt idx="527">
                  <c:v>45329</c:v>
                </c:pt>
                <c:pt idx="528">
                  <c:v>45328</c:v>
                </c:pt>
                <c:pt idx="529">
                  <c:v>45327</c:v>
                </c:pt>
                <c:pt idx="530">
                  <c:v>45324</c:v>
                </c:pt>
                <c:pt idx="531">
                  <c:v>45323</c:v>
                </c:pt>
                <c:pt idx="532">
                  <c:v>45322</c:v>
                </c:pt>
                <c:pt idx="533">
                  <c:v>45321</c:v>
                </c:pt>
                <c:pt idx="534">
                  <c:v>45320</c:v>
                </c:pt>
                <c:pt idx="535">
                  <c:v>45316</c:v>
                </c:pt>
                <c:pt idx="536">
                  <c:v>45315</c:v>
                </c:pt>
                <c:pt idx="537">
                  <c:v>45314</c:v>
                </c:pt>
                <c:pt idx="538">
                  <c:v>45310</c:v>
                </c:pt>
                <c:pt idx="539">
                  <c:v>45308</c:v>
                </c:pt>
                <c:pt idx="540">
                  <c:v>45307</c:v>
                </c:pt>
                <c:pt idx="541">
                  <c:v>45306</c:v>
                </c:pt>
                <c:pt idx="542">
                  <c:v>45303</c:v>
                </c:pt>
                <c:pt idx="543">
                  <c:v>45302</c:v>
                </c:pt>
                <c:pt idx="544">
                  <c:v>45301</c:v>
                </c:pt>
                <c:pt idx="545">
                  <c:v>45300</c:v>
                </c:pt>
                <c:pt idx="546">
                  <c:v>45299</c:v>
                </c:pt>
                <c:pt idx="547">
                  <c:v>45296</c:v>
                </c:pt>
                <c:pt idx="548">
                  <c:v>45295</c:v>
                </c:pt>
                <c:pt idx="549">
                  <c:v>45294</c:v>
                </c:pt>
                <c:pt idx="550">
                  <c:v>45293</c:v>
                </c:pt>
                <c:pt idx="551">
                  <c:v>45292</c:v>
                </c:pt>
                <c:pt idx="552">
                  <c:v>45289</c:v>
                </c:pt>
                <c:pt idx="553">
                  <c:v>45288</c:v>
                </c:pt>
                <c:pt idx="554">
                  <c:v>45287</c:v>
                </c:pt>
                <c:pt idx="555">
                  <c:v>45286</c:v>
                </c:pt>
                <c:pt idx="556">
                  <c:v>45282</c:v>
                </c:pt>
                <c:pt idx="557">
                  <c:v>45281</c:v>
                </c:pt>
                <c:pt idx="558">
                  <c:v>45280</c:v>
                </c:pt>
                <c:pt idx="559">
                  <c:v>45279</c:v>
                </c:pt>
                <c:pt idx="560">
                  <c:v>45278</c:v>
                </c:pt>
                <c:pt idx="561">
                  <c:v>45275</c:v>
                </c:pt>
                <c:pt idx="562">
                  <c:v>45274</c:v>
                </c:pt>
                <c:pt idx="563">
                  <c:v>45273</c:v>
                </c:pt>
                <c:pt idx="564">
                  <c:v>45272</c:v>
                </c:pt>
                <c:pt idx="565">
                  <c:v>45271</c:v>
                </c:pt>
                <c:pt idx="566">
                  <c:v>45268</c:v>
                </c:pt>
                <c:pt idx="567">
                  <c:v>45267</c:v>
                </c:pt>
                <c:pt idx="568">
                  <c:v>45266</c:v>
                </c:pt>
                <c:pt idx="569">
                  <c:v>45265</c:v>
                </c:pt>
                <c:pt idx="570">
                  <c:v>45264</c:v>
                </c:pt>
                <c:pt idx="571">
                  <c:v>45261</c:v>
                </c:pt>
                <c:pt idx="572">
                  <c:v>45260</c:v>
                </c:pt>
                <c:pt idx="573">
                  <c:v>45259</c:v>
                </c:pt>
                <c:pt idx="574">
                  <c:v>45258</c:v>
                </c:pt>
                <c:pt idx="575">
                  <c:v>45254</c:v>
                </c:pt>
                <c:pt idx="576">
                  <c:v>45253</c:v>
                </c:pt>
                <c:pt idx="577">
                  <c:v>45252</c:v>
                </c:pt>
                <c:pt idx="578">
                  <c:v>45251</c:v>
                </c:pt>
                <c:pt idx="579">
                  <c:v>45250</c:v>
                </c:pt>
                <c:pt idx="580">
                  <c:v>45247</c:v>
                </c:pt>
                <c:pt idx="581">
                  <c:v>45246</c:v>
                </c:pt>
                <c:pt idx="582">
                  <c:v>45245</c:v>
                </c:pt>
                <c:pt idx="583">
                  <c:v>45243</c:v>
                </c:pt>
                <c:pt idx="584">
                  <c:v>45240</c:v>
                </c:pt>
                <c:pt idx="585">
                  <c:v>45239</c:v>
                </c:pt>
                <c:pt idx="586">
                  <c:v>45238</c:v>
                </c:pt>
                <c:pt idx="587">
                  <c:v>45237</c:v>
                </c:pt>
                <c:pt idx="588">
                  <c:v>45236</c:v>
                </c:pt>
                <c:pt idx="589">
                  <c:v>45233</c:v>
                </c:pt>
                <c:pt idx="590">
                  <c:v>45232</c:v>
                </c:pt>
                <c:pt idx="591">
                  <c:v>45231</c:v>
                </c:pt>
                <c:pt idx="592">
                  <c:v>45230</c:v>
                </c:pt>
                <c:pt idx="593">
                  <c:v>45229</c:v>
                </c:pt>
                <c:pt idx="594">
                  <c:v>45226</c:v>
                </c:pt>
                <c:pt idx="595">
                  <c:v>45225</c:v>
                </c:pt>
                <c:pt idx="596">
                  <c:v>45224</c:v>
                </c:pt>
                <c:pt idx="597">
                  <c:v>45222</c:v>
                </c:pt>
                <c:pt idx="598">
                  <c:v>45219</c:v>
                </c:pt>
                <c:pt idx="599">
                  <c:v>45218</c:v>
                </c:pt>
                <c:pt idx="600">
                  <c:v>45217</c:v>
                </c:pt>
                <c:pt idx="601">
                  <c:v>45216</c:v>
                </c:pt>
                <c:pt idx="602">
                  <c:v>45215</c:v>
                </c:pt>
                <c:pt idx="603">
                  <c:v>45212</c:v>
                </c:pt>
                <c:pt idx="604">
                  <c:v>45211</c:v>
                </c:pt>
                <c:pt idx="605">
                  <c:v>45210</c:v>
                </c:pt>
                <c:pt idx="606">
                  <c:v>45209</c:v>
                </c:pt>
                <c:pt idx="607">
                  <c:v>45208</c:v>
                </c:pt>
                <c:pt idx="608">
                  <c:v>45205</c:v>
                </c:pt>
                <c:pt idx="609">
                  <c:v>45204</c:v>
                </c:pt>
                <c:pt idx="610">
                  <c:v>45203</c:v>
                </c:pt>
                <c:pt idx="611">
                  <c:v>45202</c:v>
                </c:pt>
                <c:pt idx="612">
                  <c:v>45198</c:v>
                </c:pt>
                <c:pt idx="613">
                  <c:v>45197</c:v>
                </c:pt>
                <c:pt idx="614">
                  <c:v>45196</c:v>
                </c:pt>
                <c:pt idx="615">
                  <c:v>45195</c:v>
                </c:pt>
                <c:pt idx="616">
                  <c:v>45194</c:v>
                </c:pt>
                <c:pt idx="617">
                  <c:v>45191</c:v>
                </c:pt>
                <c:pt idx="618">
                  <c:v>45190</c:v>
                </c:pt>
                <c:pt idx="619">
                  <c:v>45189</c:v>
                </c:pt>
                <c:pt idx="620">
                  <c:v>45187</c:v>
                </c:pt>
                <c:pt idx="621">
                  <c:v>45184</c:v>
                </c:pt>
                <c:pt idx="622">
                  <c:v>45183</c:v>
                </c:pt>
                <c:pt idx="623">
                  <c:v>45182</c:v>
                </c:pt>
                <c:pt idx="624">
                  <c:v>45181</c:v>
                </c:pt>
                <c:pt idx="625">
                  <c:v>45180</c:v>
                </c:pt>
                <c:pt idx="626">
                  <c:v>45177</c:v>
                </c:pt>
                <c:pt idx="627">
                  <c:v>45176</c:v>
                </c:pt>
                <c:pt idx="628">
                  <c:v>45175</c:v>
                </c:pt>
                <c:pt idx="629">
                  <c:v>45174</c:v>
                </c:pt>
                <c:pt idx="630">
                  <c:v>45173</c:v>
                </c:pt>
                <c:pt idx="631">
                  <c:v>45170</c:v>
                </c:pt>
                <c:pt idx="632">
                  <c:v>45169</c:v>
                </c:pt>
                <c:pt idx="633">
                  <c:v>45168</c:v>
                </c:pt>
                <c:pt idx="634">
                  <c:v>45167</c:v>
                </c:pt>
                <c:pt idx="635">
                  <c:v>45166</c:v>
                </c:pt>
                <c:pt idx="636">
                  <c:v>45163</c:v>
                </c:pt>
                <c:pt idx="637">
                  <c:v>45162</c:v>
                </c:pt>
                <c:pt idx="638">
                  <c:v>45161</c:v>
                </c:pt>
                <c:pt idx="639">
                  <c:v>45160</c:v>
                </c:pt>
                <c:pt idx="640">
                  <c:v>45159</c:v>
                </c:pt>
                <c:pt idx="641">
                  <c:v>45156</c:v>
                </c:pt>
                <c:pt idx="642">
                  <c:v>45155</c:v>
                </c:pt>
                <c:pt idx="643">
                  <c:v>45154</c:v>
                </c:pt>
                <c:pt idx="644">
                  <c:v>45152</c:v>
                </c:pt>
                <c:pt idx="645">
                  <c:v>45149</c:v>
                </c:pt>
                <c:pt idx="646">
                  <c:v>45148</c:v>
                </c:pt>
                <c:pt idx="647">
                  <c:v>45147</c:v>
                </c:pt>
                <c:pt idx="648">
                  <c:v>45146</c:v>
                </c:pt>
                <c:pt idx="649">
                  <c:v>45145</c:v>
                </c:pt>
                <c:pt idx="650">
                  <c:v>45142</c:v>
                </c:pt>
                <c:pt idx="651">
                  <c:v>45141</c:v>
                </c:pt>
                <c:pt idx="652">
                  <c:v>45135</c:v>
                </c:pt>
                <c:pt idx="653">
                  <c:v>45133</c:v>
                </c:pt>
                <c:pt idx="654">
                  <c:v>45131</c:v>
                </c:pt>
                <c:pt idx="655">
                  <c:v>45128</c:v>
                </c:pt>
                <c:pt idx="656">
                  <c:v>45127</c:v>
                </c:pt>
                <c:pt idx="657">
                  <c:v>45126</c:v>
                </c:pt>
                <c:pt idx="658">
                  <c:v>45124</c:v>
                </c:pt>
                <c:pt idx="659">
                  <c:v>45121</c:v>
                </c:pt>
                <c:pt idx="660">
                  <c:v>45117</c:v>
                </c:pt>
                <c:pt idx="661">
                  <c:v>45114</c:v>
                </c:pt>
                <c:pt idx="662">
                  <c:v>45107</c:v>
                </c:pt>
                <c:pt idx="663">
                  <c:v>45105</c:v>
                </c:pt>
                <c:pt idx="664">
                  <c:v>45104</c:v>
                </c:pt>
                <c:pt idx="665">
                  <c:v>45103</c:v>
                </c:pt>
                <c:pt idx="666">
                  <c:v>45100</c:v>
                </c:pt>
                <c:pt idx="667">
                  <c:v>45099</c:v>
                </c:pt>
                <c:pt idx="668">
                  <c:v>45098</c:v>
                </c:pt>
                <c:pt idx="669">
                  <c:v>45097</c:v>
                </c:pt>
                <c:pt idx="670">
                  <c:v>45096</c:v>
                </c:pt>
                <c:pt idx="671">
                  <c:v>45093</c:v>
                </c:pt>
                <c:pt idx="672">
                  <c:v>45092</c:v>
                </c:pt>
                <c:pt idx="673">
                  <c:v>45091</c:v>
                </c:pt>
                <c:pt idx="674">
                  <c:v>45090</c:v>
                </c:pt>
                <c:pt idx="675">
                  <c:v>45089</c:v>
                </c:pt>
                <c:pt idx="676">
                  <c:v>45086</c:v>
                </c:pt>
                <c:pt idx="677">
                  <c:v>45085</c:v>
                </c:pt>
                <c:pt idx="678">
                  <c:v>45084</c:v>
                </c:pt>
                <c:pt idx="679">
                  <c:v>45083</c:v>
                </c:pt>
                <c:pt idx="680">
                  <c:v>45082</c:v>
                </c:pt>
                <c:pt idx="681">
                  <c:v>45079</c:v>
                </c:pt>
                <c:pt idx="682">
                  <c:v>45078</c:v>
                </c:pt>
                <c:pt idx="683">
                  <c:v>45077</c:v>
                </c:pt>
                <c:pt idx="684">
                  <c:v>45076</c:v>
                </c:pt>
                <c:pt idx="685">
                  <c:v>45072</c:v>
                </c:pt>
                <c:pt idx="686">
                  <c:v>45071</c:v>
                </c:pt>
                <c:pt idx="687">
                  <c:v>45070</c:v>
                </c:pt>
                <c:pt idx="688">
                  <c:v>45069</c:v>
                </c:pt>
                <c:pt idx="689">
                  <c:v>45068</c:v>
                </c:pt>
                <c:pt idx="690">
                  <c:v>45065</c:v>
                </c:pt>
                <c:pt idx="691">
                  <c:v>45063</c:v>
                </c:pt>
                <c:pt idx="692">
                  <c:v>45062</c:v>
                </c:pt>
                <c:pt idx="693">
                  <c:v>45061</c:v>
                </c:pt>
                <c:pt idx="694">
                  <c:v>45058</c:v>
                </c:pt>
                <c:pt idx="695">
                  <c:v>45057</c:v>
                </c:pt>
                <c:pt idx="696">
                  <c:v>45056</c:v>
                </c:pt>
                <c:pt idx="697">
                  <c:v>45055</c:v>
                </c:pt>
                <c:pt idx="698">
                  <c:v>45054</c:v>
                </c:pt>
                <c:pt idx="699">
                  <c:v>45051</c:v>
                </c:pt>
                <c:pt idx="700">
                  <c:v>45050</c:v>
                </c:pt>
                <c:pt idx="701">
                  <c:v>45049</c:v>
                </c:pt>
                <c:pt idx="702">
                  <c:v>45048</c:v>
                </c:pt>
                <c:pt idx="703">
                  <c:v>45044</c:v>
                </c:pt>
                <c:pt idx="704">
                  <c:v>45043</c:v>
                </c:pt>
                <c:pt idx="705">
                  <c:v>45042</c:v>
                </c:pt>
                <c:pt idx="706">
                  <c:v>45041</c:v>
                </c:pt>
                <c:pt idx="707">
                  <c:v>45040</c:v>
                </c:pt>
                <c:pt idx="708">
                  <c:v>45037</c:v>
                </c:pt>
                <c:pt idx="709">
                  <c:v>45036</c:v>
                </c:pt>
                <c:pt idx="710">
                  <c:v>45035</c:v>
                </c:pt>
                <c:pt idx="711">
                  <c:v>45034</c:v>
                </c:pt>
                <c:pt idx="712">
                  <c:v>45033</c:v>
                </c:pt>
                <c:pt idx="713">
                  <c:v>45029</c:v>
                </c:pt>
                <c:pt idx="714">
                  <c:v>45028</c:v>
                </c:pt>
                <c:pt idx="715">
                  <c:v>45027</c:v>
                </c:pt>
                <c:pt idx="716">
                  <c:v>45026</c:v>
                </c:pt>
                <c:pt idx="717">
                  <c:v>45022</c:v>
                </c:pt>
                <c:pt idx="718">
                  <c:v>45021</c:v>
                </c:pt>
                <c:pt idx="719">
                  <c:v>45019</c:v>
                </c:pt>
                <c:pt idx="720">
                  <c:v>45016</c:v>
                </c:pt>
                <c:pt idx="721">
                  <c:v>45014</c:v>
                </c:pt>
                <c:pt idx="722">
                  <c:v>45013</c:v>
                </c:pt>
                <c:pt idx="723">
                  <c:v>45012</c:v>
                </c:pt>
                <c:pt idx="724">
                  <c:v>45009</c:v>
                </c:pt>
                <c:pt idx="725">
                  <c:v>45008</c:v>
                </c:pt>
                <c:pt idx="726">
                  <c:v>45007</c:v>
                </c:pt>
                <c:pt idx="727">
                  <c:v>45006</c:v>
                </c:pt>
                <c:pt idx="728">
                  <c:v>45005</c:v>
                </c:pt>
                <c:pt idx="729">
                  <c:v>45002</c:v>
                </c:pt>
                <c:pt idx="730">
                  <c:v>45001</c:v>
                </c:pt>
                <c:pt idx="731">
                  <c:v>45000</c:v>
                </c:pt>
                <c:pt idx="732">
                  <c:v>44999</c:v>
                </c:pt>
                <c:pt idx="733">
                  <c:v>44998</c:v>
                </c:pt>
                <c:pt idx="734">
                  <c:v>44995</c:v>
                </c:pt>
                <c:pt idx="735">
                  <c:v>44994</c:v>
                </c:pt>
                <c:pt idx="736">
                  <c:v>44993</c:v>
                </c:pt>
                <c:pt idx="737">
                  <c:v>44991</c:v>
                </c:pt>
                <c:pt idx="738">
                  <c:v>44988</c:v>
                </c:pt>
                <c:pt idx="739">
                  <c:v>44987</c:v>
                </c:pt>
                <c:pt idx="740">
                  <c:v>44986</c:v>
                </c:pt>
                <c:pt idx="741">
                  <c:v>44985</c:v>
                </c:pt>
                <c:pt idx="742">
                  <c:v>44984</c:v>
                </c:pt>
                <c:pt idx="743">
                  <c:v>44981</c:v>
                </c:pt>
                <c:pt idx="744">
                  <c:v>44980</c:v>
                </c:pt>
                <c:pt idx="745">
                  <c:v>44979</c:v>
                </c:pt>
                <c:pt idx="746">
                  <c:v>44978</c:v>
                </c:pt>
                <c:pt idx="747">
                  <c:v>44977</c:v>
                </c:pt>
                <c:pt idx="748">
                  <c:v>44974</c:v>
                </c:pt>
                <c:pt idx="749">
                  <c:v>44973</c:v>
                </c:pt>
                <c:pt idx="750">
                  <c:v>44972</c:v>
                </c:pt>
                <c:pt idx="751">
                  <c:v>44971</c:v>
                </c:pt>
                <c:pt idx="752">
                  <c:v>44970</c:v>
                </c:pt>
                <c:pt idx="753">
                  <c:v>44967</c:v>
                </c:pt>
                <c:pt idx="754">
                  <c:v>44966</c:v>
                </c:pt>
                <c:pt idx="755">
                  <c:v>44965</c:v>
                </c:pt>
                <c:pt idx="756">
                  <c:v>44964</c:v>
                </c:pt>
                <c:pt idx="757">
                  <c:v>44963</c:v>
                </c:pt>
                <c:pt idx="758">
                  <c:v>44960</c:v>
                </c:pt>
                <c:pt idx="759">
                  <c:v>44959</c:v>
                </c:pt>
                <c:pt idx="760">
                  <c:v>44958</c:v>
                </c:pt>
                <c:pt idx="761">
                  <c:v>44957</c:v>
                </c:pt>
                <c:pt idx="762">
                  <c:v>44956</c:v>
                </c:pt>
                <c:pt idx="763">
                  <c:v>44953</c:v>
                </c:pt>
                <c:pt idx="764">
                  <c:v>44951</c:v>
                </c:pt>
                <c:pt idx="765">
                  <c:v>44950</c:v>
                </c:pt>
                <c:pt idx="766">
                  <c:v>44949</c:v>
                </c:pt>
                <c:pt idx="767">
                  <c:v>44946</c:v>
                </c:pt>
                <c:pt idx="768">
                  <c:v>44945</c:v>
                </c:pt>
                <c:pt idx="769">
                  <c:v>44944</c:v>
                </c:pt>
                <c:pt idx="770">
                  <c:v>44943</c:v>
                </c:pt>
                <c:pt idx="771">
                  <c:v>44942</c:v>
                </c:pt>
                <c:pt idx="772">
                  <c:v>44939</c:v>
                </c:pt>
                <c:pt idx="773">
                  <c:v>44938</c:v>
                </c:pt>
                <c:pt idx="774">
                  <c:v>44937</c:v>
                </c:pt>
                <c:pt idx="775">
                  <c:v>44936</c:v>
                </c:pt>
                <c:pt idx="776">
                  <c:v>44935</c:v>
                </c:pt>
                <c:pt idx="777">
                  <c:v>44932</c:v>
                </c:pt>
                <c:pt idx="778">
                  <c:v>44931</c:v>
                </c:pt>
                <c:pt idx="779">
                  <c:v>44930</c:v>
                </c:pt>
                <c:pt idx="780">
                  <c:v>44929</c:v>
                </c:pt>
                <c:pt idx="781">
                  <c:v>44928</c:v>
                </c:pt>
                <c:pt idx="782">
                  <c:v>44925</c:v>
                </c:pt>
                <c:pt idx="783">
                  <c:v>44924</c:v>
                </c:pt>
                <c:pt idx="784">
                  <c:v>44923</c:v>
                </c:pt>
                <c:pt idx="785">
                  <c:v>44922</c:v>
                </c:pt>
                <c:pt idx="786">
                  <c:v>44921</c:v>
                </c:pt>
                <c:pt idx="787">
                  <c:v>44918</c:v>
                </c:pt>
                <c:pt idx="788">
                  <c:v>44917</c:v>
                </c:pt>
                <c:pt idx="789">
                  <c:v>44916</c:v>
                </c:pt>
                <c:pt idx="790">
                  <c:v>44915</c:v>
                </c:pt>
                <c:pt idx="791">
                  <c:v>44914</c:v>
                </c:pt>
                <c:pt idx="792">
                  <c:v>44911</c:v>
                </c:pt>
                <c:pt idx="793">
                  <c:v>44910</c:v>
                </c:pt>
                <c:pt idx="794">
                  <c:v>44909</c:v>
                </c:pt>
                <c:pt idx="795">
                  <c:v>44908</c:v>
                </c:pt>
                <c:pt idx="796">
                  <c:v>44907</c:v>
                </c:pt>
                <c:pt idx="797">
                  <c:v>44904</c:v>
                </c:pt>
                <c:pt idx="798">
                  <c:v>44903</c:v>
                </c:pt>
                <c:pt idx="799">
                  <c:v>44902</c:v>
                </c:pt>
                <c:pt idx="800">
                  <c:v>44901</c:v>
                </c:pt>
                <c:pt idx="801">
                  <c:v>44900</c:v>
                </c:pt>
                <c:pt idx="802">
                  <c:v>44897</c:v>
                </c:pt>
                <c:pt idx="803">
                  <c:v>44896</c:v>
                </c:pt>
                <c:pt idx="804">
                  <c:v>44895</c:v>
                </c:pt>
                <c:pt idx="805">
                  <c:v>44894</c:v>
                </c:pt>
                <c:pt idx="806">
                  <c:v>44893</c:v>
                </c:pt>
                <c:pt idx="807">
                  <c:v>44890</c:v>
                </c:pt>
                <c:pt idx="808">
                  <c:v>44889</c:v>
                </c:pt>
                <c:pt idx="809">
                  <c:v>44888</c:v>
                </c:pt>
                <c:pt idx="810">
                  <c:v>44887</c:v>
                </c:pt>
                <c:pt idx="811">
                  <c:v>44886</c:v>
                </c:pt>
                <c:pt idx="812">
                  <c:v>44883</c:v>
                </c:pt>
                <c:pt idx="813">
                  <c:v>44882</c:v>
                </c:pt>
                <c:pt idx="814">
                  <c:v>44881</c:v>
                </c:pt>
                <c:pt idx="815">
                  <c:v>44880</c:v>
                </c:pt>
                <c:pt idx="816">
                  <c:v>44879</c:v>
                </c:pt>
                <c:pt idx="817">
                  <c:v>44876</c:v>
                </c:pt>
                <c:pt idx="818">
                  <c:v>44875</c:v>
                </c:pt>
                <c:pt idx="819">
                  <c:v>44874</c:v>
                </c:pt>
                <c:pt idx="820">
                  <c:v>44872</c:v>
                </c:pt>
                <c:pt idx="821">
                  <c:v>44869</c:v>
                </c:pt>
                <c:pt idx="822">
                  <c:v>44868</c:v>
                </c:pt>
                <c:pt idx="823">
                  <c:v>44867</c:v>
                </c:pt>
                <c:pt idx="824">
                  <c:v>44866</c:v>
                </c:pt>
                <c:pt idx="825">
                  <c:v>44865</c:v>
                </c:pt>
                <c:pt idx="826">
                  <c:v>44862</c:v>
                </c:pt>
                <c:pt idx="827">
                  <c:v>44861</c:v>
                </c:pt>
                <c:pt idx="828">
                  <c:v>44859</c:v>
                </c:pt>
                <c:pt idx="829">
                  <c:v>44858</c:v>
                </c:pt>
                <c:pt idx="830">
                  <c:v>44855</c:v>
                </c:pt>
                <c:pt idx="831">
                  <c:v>44854</c:v>
                </c:pt>
                <c:pt idx="832">
                  <c:v>44853</c:v>
                </c:pt>
                <c:pt idx="833">
                  <c:v>44852</c:v>
                </c:pt>
                <c:pt idx="834">
                  <c:v>44851</c:v>
                </c:pt>
                <c:pt idx="835">
                  <c:v>44848</c:v>
                </c:pt>
                <c:pt idx="836">
                  <c:v>44847</c:v>
                </c:pt>
                <c:pt idx="837">
                  <c:v>44846</c:v>
                </c:pt>
                <c:pt idx="838">
                  <c:v>44845</c:v>
                </c:pt>
                <c:pt idx="839">
                  <c:v>44844</c:v>
                </c:pt>
                <c:pt idx="840">
                  <c:v>44841</c:v>
                </c:pt>
                <c:pt idx="841">
                  <c:v>44840</c:v>
                </c:pt>
                <c:pt idx="842">
                  <c:v>44838</c:v>
                </c:pt>
                <c:pt idx="843">
                  <c:v>44837</c:v>
                </c:pt>
                <c:pt idx="844">
                  <c:v>44834</c:v>
                </c:pt>
                <c:pt idx="845">
                  <c:v>44833</c:v>
                </c:pt>
                <c:pt idx="846">
                  <c:v>44832</c:v>
                </c:pt>
                <c:pt idx="847">
                  <c:v>44831</c:v>
                </c:pt>
                <c:pt idx="848">
                  <c:v>44830</c:v>
                </c:pt>
                <c:pt idx="849">
                  <c:v>44827</c:v>
                </c:pt>
                <c:pt idx="850">
                  <c:v>44826</c:v>
                </c:pt>
                <c:pt idx="851">
                  <c:v>44825</c:v>
                </c:pt>
                <c:pt idx="852">
                  <c:v>44824</c:v>
                </c:pt>
                <c:pt idx="853">
                  <c:v>44823</c:v>
                </c:pt>
                <c:pt idx="854">
                  <c:v>44820</c:v>
                </c:pt>
                <c:pt idx="855">
                  <c:v>44819</c:v>
                </c:pt>
                <c:pt idx="856">
                  <c:v>44818</c:v>
                </c:pt>
                <c:pt idx="857">
                  <c:v>44817</c:v>
                </c:pt>
                <c:pt idx="858">
                  <c:v>44816</c:v>
                </c:pt>
                <c:pt idx="859">
                  <c:v>44813</c:v>
                </c:pt>
                <c:pt idx="860">
                  <c:v>44812</c:v>
                </c:pt>
                <c:pt idx="861">
                  <c:v>44811</c:v>
                </c:pt>
                <c:pt idx="862">
                  <c:v>44810</c:v>
                </c:pt>
                <c:pt idx="863">
                  <c:v>44809</c:v>
                </c:pt>
                <c:pt idx="864">
                  <c:v>44806</c:v>
                </c:pt>
                <c:pt idx="865">
                  <c:v>44805</c:v>
                </c:pt>
                <c:pt idx="866">
                  <c:v>44803</c:v>
                </c:pt>
                <c:pt idx="867">
                  <c:v>44802</c:v>
                </c:pt>
                <c:pt idx="868">
                  <c:v>44799</c:v>
                </c:pt>
                <c:pt idx="869">
                  <c:v>44798</c:v>
                </c:pt>
                <c:pt idx="870">
                  <c:v>44797</c:v>
                </c:pt>
                <c:pt idx="871">
                  <c:v>44796</c:v>
                </c:pt>
                <c:pt idx="872">
                  <c:v>44795</c:v>
                </c:pt>
                <c:pt idx="873">
                  <c:v>44792</c:v>
                </c:pt>
                <c:pt idx="874">
                  <c:v>44791</c:v>
                </c:pt>
                <c:pt idx="875">
                  <c:v>44790</c:v>
                </c:pt>
                <c:pt idx="876">
                  <c:v>44789</c:v>
                </c:pt>
                <c:pt idx="877">
                  <c:v>44785</c:v>
                </c:pt>
                <c:pt idx="878">
                  <c:v>44784</c:v>
                </c:pt>
                <c:pt idx="879">
                  <c:v>44783</c:v>
                </c:pt>
                <c:pt idx="880">
                  <c:v>44781</c:v>
                </c:pt>
                <c:pt idx="881">
                  <c:v>44778</c:v>
                </c:pt>
                <c:pt idx="882">
                  <c:v>44777</c:v>
                </c:pt>
                <c:pt idx="883">
                  <c:v>44776</c:v>
                </c:pt>
                <c:pt idx="884">
                  <c:v>44775</c:v>
                </c:pt>
                <c:pt idx="885">
                  <c:v>44774</c:v>
                </c:pt>
                <c:pt idx="886">
                  <c:v>44771</c:v>
                </c:pt>
                <c:pt idx="887">
                  <c:v>44770</c:v>
                </c:pt>
                <c:pt idx="888">
                  <c:v>44769</c:v>
                </c:pt>
                <c:pt idx="889">
                  <c:v>44768</c:v>
                </c:pt>
                <c:pt idx="890">
                  <c:v>44767</c:v>
                </c:pt>
                <c:pt idx="891">
                  <c:v>44764</c:v>
                </c:pt>
                <c:pt idx="892">
                  <c:v>44763</c:v>
                </c:pt>
                <c:pt idx="893">
                  <c:v>44762</c:v>
                </c:pt>
                <c:pt idx="894">
                  <c:v>44761</c:v>
                </c:pt>
                <c:pt idx="895">
                  <c:v>44760</c:v>
                </c:pt>
                <c:pt idx="896">
                  <c:v>44757</c:v>
                </c:pt>
                <c:pt idx="897">
                  <c:v>44756</c:v>
                </c:pt>
                <c:pt idx="898">
                  <c:v>44755</c:v>
                </c:pt>
                <c:pt idx="899">
                  <c:v>44754</c:v>
                </c:pt>
                <c:pt idx="900">
                  <c:v>44753</c:v>
                </c:pt>
                <c:pt idx="901">
                  <c:v>44750</c:v>
                </c:pt>
                <c:pt idx="902">
                  <c:v>44749</c:v>
                </c:pt>
                <c:pt idx="903">
                  <c:v>44748</c:v>
                </c:pt>
                <c:pt idx="904">
                  <c:v>44747</c:v>
                </c:pt>
                <c:pt idx="905">
                  <c:v>44746</c:v>
                </c:pt>
                <c:pt idx="906">
                  <c:v>44743</c:v>
                </c:pt>
                <c:pt idx="907">
                  <c:v>44742</c:v>
                </c:pt>
                <c:pt idx="908">
                  <c:v>44741</c:v>
                </c:pt>
                <c:pt idx="909">
                  <c:v>44740</c:v>
                </c:pt>
                <c:pt idx="910">
                  <c:v>44739</c:v>
                </c:pt>
                <c:pt idx="911">
                  <c:v>44736</c:v>
                </c:pt>
                <c:pt idx="912">
                  <c:v>44735</c:v>
                </c:pt>
                <c:pt idx="913">
                  <c:v>44734</c:v>
                </c:pt>
                <c:pt idx="914">
                  <c:v>44733</c:v>
                </c:pt>
                <c:pt idx="915">
                  <c:v>44732</c:v>
                </c:pt>
                <c:pt idx="916">
                  <c:v>44729</c:v>
                </c:pt>
                <c:pt idx="917">
                  <c:v>44728</c:v>
                </c:pt>
                <c:pt idx="918">
                  <c:v>44727</c:v>
                </c:pt>
                <c:pt idx="919">
                  <c:v>44726</c:v>
                </c:pt>
                <c:pt idx="920">
                  <c:v>44725</c:v>
                </c:pt>
                <c:pt idx="921">
                  <c:v>44722</c:v>
                </c:pt>
                <c:pt idx="922">
                  <c:v>44721</c:v>
                </c:pt>
                <c:pt idx="923">
                  <c:v>44720</c:v>
                </c:pt>
                <c:pt idx="924">
                  <c:v>44719</c:v>
                </c:pt>
                <c:pt idx="925">
                  <c:v>44718</c:v>
                </c:pt>
                <c:pt idx="926">
                  <c:v>44715</c:v>
                </c:pt>
                <c:pt idx="927">
                  <c:v>44714</c:v>
                </c:pt>
                <c:pt idx="928">
                  <c:v>44713</c:v>
                </c:pt>
                <c:pt idx="929">
                  <c:v>44712</c:v>
                </c:pt>
                <c:pt idx="930">
                  <c:v>44711</c:v>
                </c:pt>
                <c:pt idx="931">
                  <c:v>44708</c:v>
                </c:pt>
                <c:pt idx="932">
                  <c:v>44707</c:v>
                </c:pt>
                <c:pt idx="933">
                  <c:v>44706</c:v>
                </c:pt>
                <c:pt idx="934">
                  <c:v>44705</c:v>
                </c:pt>
                <c:pt idx="935">
                  <c:v>44704</c:v>
                </c:pt>
                <c:pt idx="936">
                  <c:v>44701</c:v>
                </c:pt>
                <c:pt idx="937">
                  <c:v>44700</c:v>
                </c:pt>
                <c:pt idx="938">
                  <c:v>44699</c:v>
                </c:pt>
                <c:pt idx="939">
                  <c:v>44698</c:v>
                </c:pt>
                <c:pt idx="940">
                  <c:v>44697</c:v>
                </c:pt>
                <c:pt idx="941">
                  <c:v>44694</c:v>
                </c:pt>
                <c:pt idx="942">
                  <c:v>44693</c:v>
                </c:pt>
                <c:pt idx="943">
                  <c:v>44692</c:v>
                </c:pt>
                <c:pt idx="944">
                  <c:v>44691</c:v>
                </c:pt>
                <c:pt idx="945">
                  <c:v>44690</c:v>
                </c:pt>
                <c:pt idx="946">
                  <c:v>44687</c:v>
                </c:pt>
                <c:pt idx="947">
                  <c:v>44686</c:v>
                </c:pt>
                <c:pt idx="948">
                  <c:v>44685</c:v>
                </c:pt>
                <c:pt idx="949">
                  <c:v>44680</c:v>
                </c:pt>
                <c:pt idx="950">
                  <c:v>44679</c:v>
                </c:pt>
                <c:pt idx="951">
                  <c:v>44678</c:v>
                </c:pt>
                <c:pt idx="952">
                  <c:v>44677</c:v>
                </c:pt>
                <c:pt idx="953">
                  <c:v>44676</c:v>
                </c:pt>
                <c:pt idx="954">
                  <c:v>44673</c:v>
                </c:pt>
                <c:pt idx="955">
                  <c:v>44672</c:v>
                </c:pt>
                <c:pt idx="956">
                  <c:v>44671</c:v>
                </c:pt>
                <c:pt idx="957">
                  <c:v>44670</c:v>
                </c:pt>
                <c:pt idx="958">
                  <c:v>44669</c:v>
                </c:pt>
                <c:pt idx="959">
                  <c:v>44664</c:v>
                </c:pt>
                <c:pt idx="960">
                  <c:v>44663</c:v>
                </c:pt>
                <c:pt idx="961">
                  <c:v>44662</c:v>
                </c:pt>
                <c:pt idx="962">
                  <c:v>44659</c:v>
                </c:pt>
                <c:pt idx="963">
                  <c:v>44658</c:v>
                </c:pt>
                <c:pt idx="964">
                  <c:v>44657</c:v>
                </c:pt>
                <c:pt idx="965">
                  <c:v>44656</c:v>
                </c:pt>
                <c:pt idx="966">
                  <c:v>44655</c:v>
                </c:pt>
                <c:pt idx="967">
                  <c:v>44652</c:v>
                </c:pt>
                <c:pt idx="968">
                  <c:v>44651</c:v>
                </c:pt>
                <c:pt idx="969">
                  <c:v>44650</c:v>
                </c:pt>
                <c:pt idx="970">
                  <c:v>44649</c:v>
                </c:pt>
                <c:pt idx="971">
                  <c:v>44648</c:v>
                </c:pt>
                <c:pt idx="972">
                  <c:v>44645</c:v>
                </c:pt>
                <c:pt idx="973">
                  <c:v>44644</c:v>
                </c:pt>
                <c:pt idx="974">
                  <c:v>44643</c:v>
                </c:pt>
                <c:pt idx="975">
                  <c:v>44642</c:v>
                </c:pt>
                <c:pt idx="976">
                  <c:v>44641</c:v>
                </c:pt>
                <c:pt idx="977">
                  <c:v>44637</c:v>
                </c:pt>
                <c:pt idx="978">
                  <c:v>44636</c:v>
                </c:pt>
                <c:pt idx="979">
                  <c:v>44635</c:v>
                </c:pt>
                <c:pt idx="980">
                  <c:v>44634</c:v>
                </c:pt>
                <c:pt idx="981">
                  <c:v>44631</c:v>
                </c:pt>
                <c:pt idx="982">
                  <c:v>44630</c:v>
                </c:pt>
                <c:pt idx="983">
                  <c:v>44629</c:v>
                </c:pt>
                <c:pt idx="984">
                  <c:v>44628</c:v>
                </c:pt>
                <c:pt idx="985">
                  <c:v>44627</c:v>
                </c:pt>
                <c:pt idx="986">
                  <c:v>44624</c:v>
                </c:pt>
                <c:pt idx="987">
                  <c:v>44623</c:v>
                </c:pt>
                <c:pt idx="988">
                  <c:v>44622</c:v>
                </c:pt>
                <c:pt idx="989">
                  <c:v>44620</c:v>
                </c:pt>
                <c:pt idx="990">
                  <c:v>44617</c:v>
                </c:pt>
                <c:pt idx="991">
                  <c:v>44616</c:v>
                </c:pt>
                <c:pt idx="992">
                  <c:v>44615</c:v>
                </c:pt>
                <c:pt idx="993">
                  <c:v>44614</c:v>
                </c:pt>
                <c:pt idx="994">
                  <c:v>44613</c:v>
                </c:pt>
                <c:pt idx="995">
                  <c:v>44610</c:v>
                </c:pt>
                <c:pt idx="996">
                  <c:v>44609</c:v>
                </c:pt>
                <c:pt idx="997">
                  <c:v>44608</c:v>
                </c:pt>
                <c:pt idx="998">
                  <c:v>44607</c:v>
                </c:pt>
                <c:pt idx="999">
                  <c:v>44603</c:v>
                </c:pt>
                <c:pt idx="1000">
                  <c:v>44602</c:v>
                </c:pt>
                <c:pt idx="1001">
                  <c:v>44601</c:v>
                </c:pt>
                <c:pt idx="1002">
                  <c:v>44600</c:v>
                </c:pt>
                <c:pt idx="1003">
                  <c:v>44599</c:v>
                </c:pt>
                <c:pt idx="1004">
                  <c:v>44596</c:v>
                </c:pt>
                <c:pt idx="1005">
                  <c:v>44595</c:v>
                </c:pt>
                <c:pt idx="1006">
                  <c:v>44594</c:v>
                </c:pt>
                <c:pt idx="1007">
                  <c:v>44593</c:v>
                </c:pt>
                <c:pt idx="1008">
                  <c:v>44592</c:v>
                </c:pt>
                <c:pt idx="1009">
                  <c:v>44589</c:v>
                </c:pt>
                <c:pt idx="1010">
                  <c:v>44588</c:v>
                </c:pt>
                <c:pt idx="1011">
                  <c:v>44586</c:v>
                </c:pt>
                <c:pt idx="1012">
                  <c:v>44585</c:v>
                </c:pt>
                <c:pt idx="1013">
                  <c:v>44582</c:v>
                </c:pt>
                <c:pt idx="1014">
                  <c:v>44581</c:v>
                </c:pt>
                <c:pt idx="1015">
                  <c:v>44580</c:v>
                </c:pt>
                <c:pt idx="1016">
                  <c:v>44579</c:v>
                </c:pt>
                <c:pt idx="1017">
                  <c:v>44578</c:v>
                </c:pt>
                <c:pt idx="1018">
                  <c:v>44575</c:v>
                </c:pt>
                <c:pt idx="1019">
                  <c:v>44574</c:v>
                </c:pt>
                <c:pt idx="1020">
                  <c:v>44573</c:v>
                </c:pt>
                <c:pt idx="1021">
                  <c:v>44572</c:v>
                </c:pt>
                <c:pt idx="1022">
                  <c:v>44571</c:v>
                </c:pt>
                <c:pt idx="1023">
                  <c:v>44568</c:v>
                </c:pt>
                <c:pt idx="1024">
                  <c:v>44567</c:v>
                </c:pt>
                <c:pt idx="1025">
                  <c:v>44566</c:v>
                </c:pt>
                <c:pt idx="1026">
                  <c:v>44565</c:v>
                </c:pt>
                <c:pt idx="1027">
                  <c:v>44564</c:v>
                </c:pt>
                <c:pt idx="1028">
                  <c:v>44561</c:v>
                </c:pt>
                <c:pt idx="1029">
                  <c:v>44560</c:v>
                </c:pt>
                <c:pt idx="1030">
                  <c:v>44559</c:v>
                </c:pt>
                <c:pt idx="1031">
                  <c:v>44558</c:v>
                </c:pt>
                <c:pt idx="1032">
                  <c:v>44557</c:v>
                </c:pt>
                <c:pt idx="1033">
                  <c:v>44554</c:v>
                </c:pt>
                <c:pt idx="1034">
                  <c:v>44553</c:v>
                </c:pt>
                <c:pt idx="1035">
                  <c:v>44552</c:v>
                </c:pt>
                <c:pt idx="1036">
                  <c:v>44551</c:v>
                </c:pt>
                <c:pt idx="1037">
                  <c:v>44550</c:v>
                </c:pt>
                <c:pt idx="1038">
                  <c:v>44547</c:v>
                </c:pt>
                <c:pt idx="1039">
                  <c:v>44546</c:v>
                </c:pt>
                <c:pt idx="1040">
                  <c:v>44545</c:v>
                </c:pt>
                <c:pt idx="1041">
                  <c:v>44544</c:v>
                </c:pt>
                <c:pt idx="1042">
                  <c:v>44543</c:v>
                </c:pt>
                <c:pt idx="1043">
                  <c:v>44540</c:v>
                </c:pt>
                <c:pt idx="1044">
                  <c:v>44539</c:v>
                </c:pt>
                <c:pt idx="1045">
                  <c:v>44538</c:v>
                </c:pt>
                <c:pt idx="1046">
                  <c:v>44537</c:v>
                </c:pt>
                <c:pt idx="1047">
                  <c:v>44536</c:v>
                </c:pt>
                <c:pt idx="1048">
                  <c:v>44533</c:v>
                </c:pt>
                <c:pt idx="1049">
                  <c:v>44532</c:v>
                </c:pt>
                <c:pt idx="1050">
                  <c:v>44531</c:v>
                </c:pt>
                <c:pt idx="1051">
                  <c:v>44530</c:v>
                </c:pt>
                <c:pt idx="1052">
                  <c:v>44529</c:v>
                </c:pt>
                <c:pt idx="1053">
                  <c:v>44526</c:v>
                </c:pt>
                <c:pt idx="1054">
                  <c:v>44525</c:v>
                </c:pt>
                <c:pt idx="1055">
                  <c:v>44524</c:v>
                </c:pt>
                <c:pt idx="1056">
                  <c:v>44523</c:v>
                </c:pt>
                <c:pt idx="1057">
                  <c:v>44522</c:v>
                </c:pt>
                <c:pt idx="1058">
                  <c:v>44518</c:v>
                </c:pt>
                <c:pt idx="1059">
                  <c:v>44517</c:v>
                </c:pt>
                <c:pt idx="1060">
                  <c:v>44516</c:v>
                </c:pt>
                <c:pt idx="1061">
                  <c:v>44515</c:v>
                </c:pt>
                <c:pt idx="1062">
                  <c:v>44512</c:v>
                </c:pt>
                <c:pt idx="1063">
                  <c:v>44511</c:v>
                </c:pt>
                <c:pt idx="1064">
                  <c:v>44510</c:v>
                </c:pt>
                <c:pt idx="1065">
                  <c:v>44509</c:v>
                </c:pt>
                <c:pt idx="1066">
                  <c:v>44508</c:v>
                </c:pt>
                <c:pt idx="1067">
                  <c:v>44504</c:v>
                </c:pt>
                <c:pt idx="1068">
                  <c:v>44503</c:v>
                </c:pt>
                <c:pt idx="1069">
                  <c:v>44502</c:v>
                </c:pt>
                <c:pt idx="1070">
                  <c:v>44501</c:v>
                </c:pt>
                <c:pt idx="1071">
                  <c:v>44498</c:v>
                </c:pt>
                <c:pt idx="1072">
                  <c:v>44497</c:v>
                </c:pt>
                <c:pt idx="1073">
                  <c:v>44496</c:v>
                </c:pt>
                <c:pt idx="1074">
                  <c:v>44495</c:v>
                </c:pt>
                <c:pt idx="1075">
                  <c:v>44494</c:v>
                </c:pt>
                <c:pt idx="1076">
                  <c:v>44491</c:v>
                </c:pt>
                <c:pt idx="1077">
                  <c:v>44490</c:v>
                </c:pt>
                <c:pt idx="1078">
                  <c:v>44489</c:v>
                </c:pt>
                <c:pt idx="1079">
                  <c:v>44488</c:v>
                </c:pt>
                <c:pt idx="1080">
                  <c:v>44487</c:v>
                </c:pt>
                <c:pt idx="1081">
                  <c:v>44483</c:v>
                </c:pt>
                <c:pt idx="1082">
                  <c:v>44482</c:v>
                </c:pt>
                <c:pt idx="1083">
                  <c:v>44481</c:v>
                </c:pt>
                <c:pt idx="1084">
                  <c:v>44480</c:v>
                </c:pt>
                <c:pt idx="1085">
                  <c:v>44477</c:v>
                </c:pt>
                <c:pt idx="1086">
                  <c:v>44476</c:v>
                </c:pt>
                <c:pt idx="1087">
                  <c:v>44475</c:v>
                </c:pt>
                <c:pt idx="1088">
                  <c:v>44474</c:v>
                </c:pt>
                <c:pt idx="1089">
                  <c:v>44473</c:v>
                </c:pt>
                <c:pt idx="1090">
                  <c:v>44470</c:v>
                </c:pt>
                <c:pt idx="1091">
                  <c:v>44469</c:v>
                </c:pt>
                <c:pt idx="1092">
                  <c:v>44468</c:v>
                </c:pt>
                <c:pt idx="1093">
                  <c:v>44467</c:v>
                </c:pt>
                <c:pt idx="1094">
                  <c:v>44466</c:v>
                </c:pt>
                <c:pt idx="1095">
                  <c:v>44463</c:v>
                </c:pt>
                <c:pt idx="1096">
                  <c:v>44462</c:v>
                </c:pt>
                <c:pt idx="1097">
                  <c:v>44461</c:v>
                </c:pt>
                <c:pt idx="1098">
                  <c:v>44460</c:v>
                </c:pt>
                <c:pt idx="1099">
                  <c:v>44459</c:v>
                </c:pt>
                <c:pt idx="1100">
                  <c:v>44456</c:v>
                </c:pt>
                <c:pt idx="1101">
                  <c:v>44455</c:v>
                </c:pt>
                <c:pt idx="1102">
                  <c:v>44454</c:v>
                </c:pt>
                <c:pt idx="1103">
                  <c:v>44453</c:v>
                </c:pt>
                <c:pt idx="1104">
                  <c:v>44452</c:v>
                </c:pt>
                <c:pt idx="1105">
                  <c:v>44448</c:v>
                </c:pt>
                <c:pt idx="1106">
                  <c:v>44447</c:v>
                </c:pt>
                <c:pt idx="1107">
                  <c:v>44446</c:v>
                </c:pt>
                <c:pt idx="1108">
                  <c:v>44445</c:v>
                </c:pt>
                <c:pt idx="1109">
                  <c:v>44442</c:v>
                </c:pt>
                <c:pt idx="1110">
                  <c:v>44441</c:v>
                </c:pt>
                <c:pt idx="1111">
                  <c:v>44440</c:v>
                </c:pt>
                <c:pt idx="1112">
                  <c:v>44439</c:v>
                </c:pt>
                <c:pt idx="1113">
                  <c:v>44438</c:v>
                </c:pt>
                <c:pt idx="1114">
                  <c:v>44435</c:v>
                </c:pt>
                <c:pt idx="1115">
                  <c:v>44434</c:v>
                </c:pt>
                <c:pt idx="1116">
                  <c:v>44433</c:v>
                </c:pt>
                <c:pt idx="1117">
                  <c:v>44432</c:v>
                </c:pt>
                <c:pt idx="1118">
                  <c:v>44431</c:v>
                </c:pt>
                <c:pt idx="1119">
                  <c:v>44428</c:v>
                </c:pt>
                <c:pt idx="1120">
                  <c:v>44426</c:v>
                </c:pt>
                <c:pt idx="1121">
                  <c:v>44425</c:v>
                </c:pt>
                <c:pt idx="1122">
                  <c:v>44424</c:v>
                </c:pt>
                <c:pt idx="1123">
                  <c:v>44421</c:v>
                </c:pt>
                <c:pt idx="1124">
                  <c:v>44420</c:v>
                </c:pt>
                <c:pt idx="1125">
                  <c:v>44419</c:v>
                </c:pt>
                <c:pt idx="1126">
                  <c:v>44418</c:v>
                </c:pt>
                <c:pt idx="1127">
                  <c:v>44417</c:v>
                </c:pt>
                <c:pt idx="1128">
                  <c:v>44414</c:v>
                </c:pt>
                <c:pt idx="1129">
                  <c:v>44413</c:v>
                </c:pt>
                <c:pt idx="1130">
                  <c:v>44412</c:v>
                </c:pt>
                <c:pt idx="1131">
                  <c:v>44411</c:v>
                </c:pt>
                <c:pt idx="1132">
                  <c:v>44410</c:v>
                </c:pt>
                <c:pt idx="1133">
                  <c:v>44407</c:v>
                </c:pt>
                <c:pt idx="1134">
                  <c:v>44406</c:v>
                </c:pt>
                <c:pt idx="1135">
                  <c:v>44405</c:v>
                </c:pt>
                <c:pt idx="1136">
                  <c:v>44404</c:v>
                </c:pt>
                <c:pt idx="1137">
                  <c:v>44403</c:v>
                </c:pt>
                <c:pt idx="1138">
                  <c:v>44400</c:v>
                </c:pt>
                <c:pt idx="1139">
                  <c:v>44399</c:v>
                </c:pt>
                <c:pt idx="1140">
                  <c:v>44397</c:v>
                </c:pt>
                <c:pt idx="1141">
                  <c:v>44396</c:v>
                </c:pt>
                <c:pt idx="1142">
                  <c:v>44393</c:v>
                </c:pt>
                <c:pt idx="1143">
                  <c:v>44392</c:v>
                </c:pt>
                <c:pt idx="1144">
                  <c:v>44391</c:v>
                </c:pt>
                <c:pt idx="1145">
                  <c:v>44390</c:v>
                </c:pt>
                <c:pt idx="1146">
                  <c:v>44389</c:v>
                </c:pt>
                <c:pt idx="1147">
                  <c:v>44386</c:v>
                </c:pt>
                <c:pt idx="1148">
                  <c:v>44385</c:v>
                </c:pt>
                <c:pt idx="1149">
                  <c:v>44384</c:v>
                </c:pt>
                <c:pt idx="1150">
                  <c:v>44383</c:v>
                </c:pt>
                <c:pt idx="1151">
                  <c:v>44382</c:v>
                </c:pt>
                <c:pt idx="1152">
                  <c:v>44379</c:v>
                </c:pt>
                <c:pt idx="1153">
                  <c:v>44378</c:v>
                </c:pt>
                <c:pt idx="1154">
                  <c:v>44377</c:v>
                </c:pt>
                <c:pt idx="1155">
                  <c:v>44376</c:v>
                </c:pt>
                <c:pt idx="1156">
                  <c:v>44375</c:v>
                </c:pt>
                <c:pt idx="1157">
                  <c:v>44372</c:v>
                </c:pt>
                <c:pt idx="1158">
                  <c:v>44371</c:v>
                </c:pt>
                <c:pt idx="1159">
                  <c:v>44370</c:v>
                </c:pt>
                <c:pt idx="1160">
                  <c:v>44369</c:v>
                </c:pt>
                <c:pt idx="1161">
                  <c:v>44368</c:v>
                </c:pt>
                <c:pt idx="1162">
                  <c:v>44365</c:v>
                </c:pt>
                <c:pt idx="1163">
                  <c:v>44364</c:v>
                </c:pt>
                <c:pt idx="1164">
                  <c:v>44363</c:v>
                </c:pt>
                <c:pt idx="1165">
                  <c:v>44362</c:v>
                </c:pt>
                <c:pt idx="1166">
                  <c:v>44361</c:v>
                </c:pt>
                <c:pt idx="1167">
                  <c:v>44358</c:v>
                </c:pt>
                <c:pt idx="1168">
                  <c:v>44357</c:v>
                </c:pt>
                <c:pt idx="1169">
                  <c:v>44356</c:v>
                </c:pt>
                <c:pt idx="1170">
                  <c:v>44355</c:v>
                </c:pt>
                <c:pt idx="1171">
                  <c:v>44354</c:v>
                </c:pt>
                <c:pt idx="1172">
                  <c:v>44351</c:v>
                </c:pt>
                <c:pt idx="1173">
                  <c:v>44350</c:v>
                </c:pt>
                <c:pt idx="1174">
                  <c:v>44349</c:v>
                </c:pt>
                <c:pt idx="1175">
                  <c:v>44348</c:v>
                </c:pt>
                <c:pt idx="1176">
                  <c:v>44347</c:v>
                </c:pt>
                <c:pt idx="1177">
                  <c:v>44344</c:v>
                </c:pt>
                <c:pt idx="1178">
                  <c:v>44343</c:v>
                </c:pt>
                <c:pt idx="1179">
                  <c:v>44342</c:v>
                </c:pt>
                <c:pt idx="1180">
                  <c:v>44341</c:v>
                </c:pt>
                <c:pt idx="1181">
                  <c:v>44340</c:v>
                </c:pt>
                <c:pt idx="1182">
                  <c:v>44337</c:v>
                </c:pt>
                <c:pt idx="1183">
                  <c:v>44336</c:v>
                </c:pt>
                <c:pt idx="1184">
                  <c:v>44335</c:v>
                </c:pt>
                <c:pt idx="1185">
                  <c:v>44334</c:v>
                </c:pt>
                <c:pt idx="1186">
                  <c:v>44333</c:v>
                </c:pt>
                <c:pt idx="1187">
                  <c:v>44330</c:v>
                </c:pt>
                <c:pt idx="1188">
                  <c:v>44328</c:v>
                </c:pt>
                <c:pt idx="1189">
                  <c:v>44327</c:v>
                </c:pt>
                <c:pt idx="1190">
                  <c:v>44326</c:v>
                </c:pt>
                <c:pt idx="1191">
                  <c:v>44323</c:v>
                </c:pt>
                <c:pt idx="1192">
                  <c:v>44322</c:v>
                </c:pt>
                <c:pt idx="1193">
                  <c:v>44321</c:v>
                </c:pt>
                <c:pt idx="1194">
                  <c:v>44320</c:v>
                </c:pt>
                <c:pt idx="1195">
                  <c:v>44319</c:v>
                </c:pt>
                <c:pt idx="1196">
                  <c:v>44316</c:v>
                </c:pt>
                <c:pt idx="1197">
                  <c:v>44315</c:v>
                </c:pt>
                <c:pt idx="1198">
                  <c:v>44314</c:v>
                </c:pt>
                <c:pt idx="1199">
                  <c:v>44313</c:v>
                </c:pt>
                <c:pt idx="1200">
                  <c:v>44312</c:v>
                </c:pt>
                <c:pt idx="1201">
                  <c:v>44309</c:v>
                </c:pt>
                <c:pt idx="1202">
                  <c:v>44308</c:v>
                </c:pt>
                <c:pt idx="1203">
                  <c:v>44306</c:v>
                </c:pt>
                <c:pt idx="1204">
                  <c:v>44305</c:v>
                </c:pt>
                <c:pt idx="1205">
                  <c:v>44302</c:v>
                </c:pt>
                <c:pt idx="1206">
                  <c:v>44301</c:v>
                </c:pt>
                <c:pt idx="1207">
                  <c:v>44299</c:v>
                </c:pt>
                <c:pt idx="1208">
                  <c:v>44298</c:v>
                </c:pt>
                <c:pt idx="1209">
                  <c:v>44295</c:v>
                </c:pt>
                <c:pt idx="1210">
                  <c:v>44294</c:v>
                </c:pt>
                <c:pt idx="1211">
                  <c:v>44293</c:v>
                </c:pt>
                <c:pt idx="1212">
                  <c:v>44292</c:v>
                </c:pt>
                <c:pt idx="1213">
                  <c:v>44291</c:v>
                </c:pt>
              </c:numCache>
            </c:numRef>
          </c:cat>
          <c:val>
            <c:numRef>
              <c:f>Input!$D$12:$D$1225</c:f>
              <c:numCache>
                <c:formatCode>#,##0.0</c:formatCode>
                <c:ptCount val="1214"/>
                <c:pt idx="0">
                  <c:v>12508.3</c:v>
                </c:pt>
                <c:pt idx="1">
                  <c:v>12298.8</c:v>
                </c:pt>
                <c:pt idx="2">
                  <c:v>12387.9</c:v>
                </c:pt>
                <c:pt idx="3">
                  <c:v>12704.3</c:v>
                </c:pt>
                <c:pt idx="4">
                  <c:v>12467.5</c:v>
                </c:pt>
                <c:pt idx="5">
                  <c:v>12354.05</c:v>
                </c:pt>
                <c:pt idx="6">
                  <c:v>12591.45</c:v>
                </c:pt>
                <c:pt idx="7">
                  <c:v>13054.65</c:v>
                </c:pt>
                <c:pt idx="8">
                  <c:v>12602.65</c:v>
                </c:pt>
                <c:pt idx="11">
                  <c:v>12993.55</c:v>
                </c:pt>
                <c:pt idx="12">
                  <c:v>12753.3</c:v>
                </c:pt>
                <c:pt idx="13">
                  <c:v>12588.45</c:v>
                </c:pt>
                <c:pt idx="14">
                  <c:v>13016.1</c:v>
                </c:pt>
                <c:pt idx="15">
                  <c:v>13870.05</c:v>
                </c:pt>
                <c:pt idx="16">
                  <c:v>13504.45</c:v>
                </c:pt>
                <c:pt idx="17">
                  <c:v>14149.15</c:v>
                </c:pt>
                <c:pt idx="18">
                  <c:v>14416.35</c:v>
                </c:pt>
                <c:pt idx="19">
                  <c:v>14152.45</c:v>
                </c:pt>
                <c:pt idx="20">
                  <c:v>14380.6</c:v>
                </c:pt>
                <c:pt idx="21">
                  <c:v>14869.55</c:v>
                </c:pt>
                <c:pt idx="22">
                  <c:v>15213.05</c:v>
                </c:pt>
                <c:pt idx="23">
                  <c:v>15060.1</c:v>
                </c:pt>
                <c:pt idx="24">
                  <c:v>14924.4</c:v>
                </c:pt>
                <c:pt idx="25">
                  <c:v>15067.7</c:v>
                </c:pt>
                <c:pt idx="26">
                  <c:v>14987.55</c:v>
                </c:pt>
                <c:pt idx="27">
                  <c:v>14904</c:v>
                </c:pt>
                <c:pt idx="28">
                  <c:v>15167.1</c:v>
                </c:pt>
                <c:pt idx="29">
                  <c:v>15180.3</c:v>
                </c:pt>
                <c:pt idx="30">
                  <c:v>15049.65</c:v>
                </c:pt>
                <c:pt idx="31">
                  <c:v>15227.4</c:v>
                </c:pt>
                <c:pt idx="32">
                  <c:v>15323.75</c:v>
                </c:pt>
                <c:pt idx="33">
                  <c:v>15412.75</c:v>
                </c:pt>
                <c:pt idx="34">
                  <c:v>15154.95</c:v>
                </c:pt>
                <c:pt idx="35">
                  <c:v>14979.5</c:v>
                </c:pt>
                <c:pt idx="36">
                  <c:v>15001.4</c:v>
                </c:pt>
                <c:pt idx="37">
                  <c:v>15051.2</c:v>
                </c:pt>
                <c:pt idx="38">
                  <c:v>15077.5</c:v>
                </c:pt>
                <c:pt idx="39">
                  <c:v>14779.6</c:v>
                </c:pt>
                <c:pt idx="40">
                  <c:v>14387.05</c:v>
                </c:pt>
                <c:pt idx="41">
                  <c:v>14601.55</c:v>
                </c:pt>
                <c:pt idx="42">
                  <c:v>14499.5</c:v>
                </c:pt>
                <c:pt idx="43">
                  <c:v>14876.8</c:v>
                </c:pt>
                <c:pt idx="44">
                  <c:v>15240.95</c:v>
                </c:pt>
                <c:pt idx="45">
                  <c:v>15469.6</c:v>
                </c:pt>
                <c:pt idx="46">
                  <c:v>15764</c:v>
                </c:pt>
                <c:pt idx="47">
                  <c:v>15769.1</c:v>
                </c:pt>
                <c:pt idx="48">
                  <c:v>15881.1</c:v>
                </c:pt>
                <c:pt idx="49">
                  <c:v>16179.75</c:v>
                </c:pt>
                <c:pt idx="50">
                  <c:v>15856.55</c:v>
                </c:pt>
                <c:pt idx="51">
                  <c:v>16144.05</c:v>
                </c:pt>
                <c:pt idx="52">
                  <c:v>16425.8</c:v>
                </c:pt>
                <c:pt idx="53">
                  <c:v>16588.849999999999</c:v>
                </c:pt>
                <c:pt idx="54">
                  <c:v>16501</c:v>
                </c:pt>
                <c:pt idx="55">
                  <c:v>16663.8</c:v>
                </c:pt>
                <c:pt idx="56">
                  <c:v>16803.8</c:v>
                </c:pt>
                <c:pt idx="57">
                  <c:v>17294.95</c:v>
                </c:pt>
                <c:pt idx="58">
                  <c:v>17154.099999999999</c:v>
                </c:pt>
                <c:pt idx="59">
                  <c:v>16960.25</c:v>
                </c:pt>
                <c:pt idx="60">
                  <c:v>16715.2</c:v>
                </c:pt>
                <c:pt idx="61">
                  <c:v>16704.25</c:v>
                </c:pt>
                <c:pt idx="62">
                  <c:v>16603.900000000001</c:v>
                </c:pt>
                <c:pt idx="63">
                  <c:v>16560.150000000001</c:v>
                </c:pt>
                <c:pt idx="64">
                  <c:v>16589.8</c:v>
                </c:pt>
                <c:pt idx="65">
                  <c:v>16707.900000000001</c:v>
                </c:pt>
                <c:pt idx="66">
                  <c:v>16577.150000000001</c:v>
                </c:pt>
                <c:pt idx="67">
                  <c:v>16641.25</c:v>
                </c:pt>
                <c:pt idx="68">
                  <c:v>16425.2</c:v>
                </c:pt>
                <c:pt idx="69">
                  <c:v>16337.2</c:v>
                </c:pt>
                <c:pt idx="70">
                  <c:v>16393.400000000001</c:v>
                </c:pt>
                <c:pt idx="71">
                  <c:v>16349.95</c:v>
                </c:pt>
                <c:pt idx="72">
                  <c:v>16403.150000000001</c:v>
                </c:pt>
                <c:pt idx="73">
                  <c:v>16520.900000000001</c:v>
                </c:pt>
                <c:pt idx="74">
                  <c:v>16262.75</c:v>
                </c:pt>
                <c:pt idx="75">
                  <c:v>16003.75</c:v>
                </c:pt>
                <c:pt idx="76">
                  <c:v>16012.3</c:v>
                </c:pt>
                <c:pt idx="77">
                  <c:v>16182.2</c:v>
                </c:pt>
                <c:pt idx="78">
                  <c:v>16277.3</c:v>
                </c:pt>
                <c:pt idx="79">
                  <c:v>15997.2</c:v>
                </c:pt>
                <c:pt idx="80">
                  <c:v>16083.75</c:v>
                </c:pt>
                <c:pt idx="81">
                  <c:v>16240.9</c:v>
                </c:pt>
                <c:pt idx="82">
                  <c:v>16116</c:v>
                </c:pt>
                <c:pt idx="83">
                  <c:v>15894.1</c:v>
                </c:pt>
                <c:pt idx="84">
                  <c:v>15902.6</c:v>
                </c:pt>
                <c:pt idx="85">
                  <c:v>16154.55</c:v>
                </c:pt>
                <c:pt idx="86">
                  <c:v>15882.95</c:v>
                </c:pt>
                <c:pt idx="87">
                  <c:v>15958.35</c:v>
                </c:pt>
                <c:pt idx="88">
                  <c:v>15980.25</c:v>
                </c:pt>
                <c:pt idx="89">
                  <c:v>15799.4</c:v>
                </c:pt>
                <c:pt idx="90">
                  <c:v>15759</c:v>
                </c:pt>
                <c:pt idx="91">
                  <c:v>15928.85</c:v>
                </c:pt>
                <c:pt idx="92">
                  <c:v>15879.45</c:v>
                </c:pt>
                <c:pt idx="93">
                  <c:v>15678.55</c:v>
                </c:pt>
                <c:pt idx="94">
                  <c:v>15755.5</c:v>
                </c:pt>
                <c:pt idx="95">
                  <c:v>15687.1</c:v>
                </c:pt>
                <c:pt idx="96">
                  <c:v>15638.6</c:v>
                </c:pt>
                <c:pt idx="97">
                  <c:v>15582.3</c:v>
                </c:pt>
                <c:pt idx="98">
                  <c:v>15478.1</c:v>
                </c:pt>
                <c:pt idx="99">
                  <c:v>15453.45</c:v>
                </c:pt>
                <c:pt idx="100">
                  <c:v>15370.45</c:v>
                </c:pt>
                <c:pt idx="101">
                  <c:v>15646.15</c:v>
                </c:pt>
                <c:pt idx="102">
                  <c:v>16191.9</c:v>
                </c:pt>
                <c:pt idx="103">
                  <c:v>16205.6</c:v>
                </c:pt>
                <c:pt idx="104">
                  <c:v>16143.65</c:v>
                </c:pt>
                <c:pt idx="105">
                  <c:v>16313.75</c:v>
                </c:pt>
                <c:pt idx="106">
                  <c:v>16383.8</c:v>
                </c:pt>
                <c:pt idx="107">
                  <c:v>16263.35</c:v>
                </c:pt>
                <c:pt idx="108">
                  <c:v>16383.3</c:v>
                </c:pt>
                <c:pt idx="109">
                  <c:v>16389.5</c:v>
                </c:pt>
                <c:pt idx="110">
                  <c:v>16432.599999999999</c:v>
                </c:pt>
                <c:pt idx="111">
                  <c:v>16399.900000000001</c:v>
                </c:pt>
                <c:pt idx="112">
                  <c:v>16295.5</c:v>
                </c:pt>
                <c:pt idx="113">
                  <c:v>16219.6</c:v>
                </c:pt>
                <c:pt idx="114">
                  <c:v>16255.25</c:v>
                </c:pt>
                <c:pt idx="115">
                  <c:v>16315.4</c:v>
                </c:pt>
                <c:pt idx="116">
                  <c:v>16276.05</c:v>
                </c:pt>
                <c:pt idx="117">
                  <c:v>15976.5</c:v>
                </c:pt>
                <c:pt idx="118">
                  <c:v>16010.65</c:v>
                </c:pt>
                <c:pt idx="119">
                  <c:v>16107</c:v>
                </c:pt>
                <c:pt idx="120">
                  <c:v>16004.35</c:v>
                </c:pt>
                <c:pt idx="121">
                  <c:v>15805.45</c:v>
                </c:pt>
                <c:pt idx="122">
                  <c:v>15971.2</c:v>
                </c:pt>
                <c:pt idx="123">
                  <c:v>16028.55</c:v>
                </c:pt>
                <c:pt idx="124">
                  <c:v>15998.05</c:v>
                </c:pt>
                <c:pt idx="125">
                  <c:v>16266.7</c:v>
                </c:pt>
                <c:pt idx="126">
                  <c:v>16270.45</c:v>
                </c:pt>
                <c:pt idx="127">
                  <c:v>16246.5</c:v>
                </c:pt>
                <c:pt idx="128">
                  <c:v>16097.95</c:v>
                </c:pt>
                <c:pt idx="129">
                  <c:v>15808.35</c:v>
                </c:pt>
                <c:pt idx="130">
                  <c:v>15870.9</c:v>
                </c:pt>
                <c:pt idx="131">
                  <c:v>15818.65</c:v>
                </c:pt>
                <c:pt idx="132">
                  <c:v>15800.3</c:v>
                </c:pt>
                <c:pt idx="133">
                  <c:v>15571.35</c:v>
                </c:pt>
                <c:pt idx="134">
                  <c:v>15263.15</c:v>
                </c:pt>
                <c:pt idx="135">
                  <c:v>15324.9</c:v>
                </c:pt>
                <c:pt idx="136">
                  <c:v>15096.35</c:v>
                </c:pt>
                <c:pt idx="137">
                  <c:v>15123.4</c:v>
                </c:pt>
                <c:pt idx="138">
                  <c:v>15361.4</c:v>
                </c:pt>
                <c:pt idx="139">
                  <c:v>15258.1</c:v>
                </c:pt>
                <c:pt idx="140">
                  <c:v>14904.5</c:v>
                </c:pt>
                <c:pt idx="141">
                  <c:v>14655.65</c:v>
                </c:pt>
                <c:pt idx="142">
                  <c:v>14921</c:v>
                </c:pt>
                <c:pt idx="143">
                  <c:v>14846.45</c:v>
                </c:pt>
                <c:pt idx="144">
                  <c:v>14880.05</c:v>
                </c:pt>
                <c:pt idx="145">
                  <c:v>14789.95</c:v>
                </c:pt>
                <c:pt idx="146">
                  <c:v>14760.6</c:v>
                </c:pt>
                <c:pt idx="147">
                  <c:v>14711.3</c:v>
                </c:pt>
                <c:pt idx="148">
                  <c:v>14458.15</c:v>
                </c:pt>
                <c:pt idx="149">
                  <c:v>14351.05</c:v>
                </c:pt>
                <c:pt idx="150">
                  <c:v>14282.4</c:v>
                </c:pt>
                <c:pt idx="151">
                  <c:v>14211.75</c:v>
                </c:pt>
                <c:pt idx="152">
                  <c:v>14248.5</c:v>
                </c:pt>
                <c:pt idx="153">
                  <c:v>14075.3</c:v>
                </c:pt>
                <c:pt idx="154">
                  <c:v>12920.45</c:v>
                </c:pt>
                <c:pt idx="155">
                  <c:v>12830.7</c:v>
                </c:pt>
                <c:pt idx="156">
                  <c:v>12837.85</c:v>
                </c:pt>
                <c:pt idx="157">
                  <c:v>12583.8</c:v>
                </c:pt>
                <c:pt idx="158">
                  <c:v>12578.9</c:v>
                </c:pt>
                <c:pt idx="159">
                  <c:v>12625.6</c:v>
                </c:pt>
                <c:pt idx="160">
                  <c:v>12525.15</c:v>
                </c:pt>
                <c:pt idx="161">
                  <c:v>12524.5</c:v>
                </c:pt>
                <c:pt idx="162">
                  <c:v>12363.85</c:v>
                </c:pt>
                <c:pt idx="163">
                  <c:v>12299.35</c:v>
                </c:pt>
                <c:pt idx="164">
                  <c:v>12499.45</c:v>
                </c:pt>
                <c:pt idx="165">
                  <c:v>12487.48</c:v>
                </c:pt>
                <c:pt idx="166">
                  <c:v>12341.01</c:v>
                </c:pt>
                <c:pt idx="167">
                  <c:v>12204.19</c:v>
                </c:pt>
                <c:pt idx="168">
                  <c:v>12267.75</c:v>
                </c:pt>
                <c:pt idx="169">
                  <c:v>12419.96</c:v>
                </c:pt>
                <c:pt idx="170">
                  <c:v>12490.6</c:v>
                </c:pt>
                <c:pt idx="171">
                  <c:v>12363.57</c:v>
                </c:pt>
                <c:pt idx="172">
                  <c:v>12269.78</c:v>
                </c:pt>
                <c:pt idx="173">
                  <c:v>12289.96</c:v>
                </c:pt>
                <c:pt idx="174">
                  <c:v>12344.77</c:v>
                </c:pt>
                <c:pt idx="175">
                  <c:v>12431.33</c:v>
                </c:pt>
                <c:pt idx="176">
                  <c:v>12401.01</c:v>
                </c:pt>
                <c:pt idx="177">
                  <c:v>12381.77</c:v>
                </c:pt>
                <c:pt idx="178">
                  <c:v>12443.11</c:v>
                </c:pt>
                <c:pt idx="179">
                  <c:v>12512.76</c:v>
                </c:pt>
                <c:pt idx="180">
                  <c:v>12335.37</c:v>
                </c:pt>
                <c:pt idx="181">
                  <c:v>12287.14</c:v>
                </c:pt>
                <c:pt idx="182">
                  <c:v>12387.16</c:v>
                </c:pt>
                <c:pt idx="183">
                  <c:v>12513.6</c:v>
                </c:pt>
                <c:pt idx="184">
                  <c:v>12616.19</c:v>
                </c:pt>
                <c:pt idx="185">
                  <c:v>12489.66</c:v>
                </c:pt>
                <c:pt idx="186">
                  <c:v>12310.09</c:v>
                </c:pt>
                <c:pt idx="187">
                  <c:v>12266.47</c:v>
                </c:pt>
                <c:pt idx="188">
                  <c:v>12509.79</c:v>
                </c:pt>
                <c:pt idx="189">
                  <c:v>12580.57</c:v>
                </c:pt>
                <c:pt idx="190">
                  <c:v>12629.94</c:v>
                </c:pt>
                <c:pt idx="191">
                  <c:v>12475.76</c:v>
                </c:pt>
                <c:pt idx="192">
                  <c:v>12566.38</c:v>
                </c:pt>
                <c:pt idx="193">
                  <c:v>12669.32</c:v>
                </c:pt>
                <c:pt idx="194">
                  <c:v>12669.32</c:v>
                </c:pt>
                <c:pt idx="195">
                  <c:v>12605.55</c:v>
                </c:pt>
                <c:pt idx="196">
                  <c:v>12460.77</c:v>
                </c:pt>
                <c:pt idx="197">
                  <c:v>12401.31</c:v>
                </c:pt>
                <c:pt idx="198">
                  <c:v>12278.83</c:v>
                </c:pt>
                <c:pt idx="199">
                  <c:v>12249.99</c:v>
                </c:pt>
                <c:pt idx="200">
                  <c:v>12318.6</c:v>
                </c:pt>
                <c:pt idx="201">
                  <c:v>12400.17</c:v>
                </c:pt>
                <c:pt idx="202">
                  <c:v>12502.91</c:v>
                </c:pt>
                <c:pt idx="203">
                  <c:v>12326.57</c:v>
                </c:pt>
                <c:pt idx="204">
                  <c:v>11993.86</c:v>
                </c:pt>
                <c:pt idx="205">
                  <c:v>12034.27</c:v>
                </c:pt>
                <c:pt idx="206">
                  <c:v>11997.52</c:v>
                </c:pt>
                <c:pt idx="207">
                  <c:v>12159.03</c:v>
                </c:pt>
                <c:pt idx="208">
                  <c:v>12185.94</c:v>
                </c:pt>
                <c:pt idx="209">
                  <c:v>12253.56</c:v>
                </c:pt>
                <c:pt idx="210">
                  <c:v>12197.91</c:v>
                </c:pt>
                <c:pt idx="211">
                  <c:v>12285.36</c:v>
                </c:pt>
                <c:pt idx="212">
                  <c:v>12283.19</c:v>
                </c:pt>
                <c:pt idx="213">
                  <c:v>12319.05</c:v>
                </c:pt>
                <c:pt idx="214">
                  <c:v>12312.86</c:v>
                </c:pt>
                <c:pt idx="215">
                  <c:v>12478.08</c:v>
                </c:pt>
                <c:pt idx="216">
                  <c:v>12510.58</c:v>
                </c:pt>
                <c:pt idx="217">
                  <c:v>12849.17</c:v>
                </c:pt>
                <c:pt idx="218">
                  <c:v>12855.16</c:v>
                </c:pt>
                <c:pt idx="219">
                  <c:v>12808.96</c:v>
                </c:pt>
                <c:pt idx="220">
                  <c:v>12536.6</c:v>
                </c:pt>
                <c:pt idx="221">
                  <c:v>12350.76</c:v>
                </c:pt>
                <c:pt idx="222">
                  <c:v>12480.6</c:v>
                </c:pt>
                <c:pt idx="223">
                  <c:v>12121.43</c:v>
                </c:pt>
                <c:pt idx="224">
                  <c:v>12257.96</c:v>
                </c:pt>
                <c:pt idx="225">
                  <c:v>12494.21</c:v>
                </c:pt>
                <c:pt idx="226">
                  <c:v>12443.36</c:v>
                </c:pt>
                <c:pt idx="227">
                  <c:v>12330.87</c:v>
                </c:pt>
                <c:pt idx="228">
                  <c:v>12276.61</c:v>
                </c:pt>
                <c:pt idx="229">
                  <c:v>12129.54</c:v>
                </c:pt>
                <c:pt idx="230">
                  <c:v>11720.46</c:v>
                </c:pt>
                <c:pt idx="231">
                  <c:v>11724.12</c:v>
                </c:pt>
                <c:pt idx="232">
                  <c:v>11561.04</c:v>
                </c:pt>
                <c:pt idx="233">
                  <c:v>11773.64</c:v>
                </c:pt>
                <c:pt idx="234">
                  <c:v>11783.48</c:v>
                </c:pt>
                <c:pt idx="235">
                  <c:v>11608.18</c:v>
                </c:pt>
                <c:pt idx="236">
                  <c:v>11619.8</c:v>
                </c:pt>
                <c:pt idx="237">
                  <c:v>11566.38</c:v>
                </c:pt>
                <c:pt idx="238">
                  <c:v>11539.62</c:v>
                </c:pt>
                <c:pt idx="239">
                  <c:v>11725.51</c:v>
                </c:pt>
                <c:pt idx="240">
                  <c:v>11478.82</c:v>
                </c:pt>
                <c:pt idx="241">
                  <c:v>11339.48</c:v>
                </c:pt>
                <c:pt idx="242">
                  <c:v>11333.89</c:v>
                </c:pt>
                <c:pt idx="243">
                  <c:v>11206.22</c:v>
                </c:pt>
                <c:pt idx="244">
                  <c:v>11358.87</c:v>
                </c:pt>
                <c:pt idx="245">
                  <c:v>11557.97</c:v>
                </c:pt>
                <c:pt idx="246">
                  <c:v>11589.87</c:v>
                </c:pt>
                <c:pt idx="247">
                  <c:v>11352.93</c:v>
                </c:pt>
                <c:pt idx="248">
                  <c:v>11398.34</c:v>
                </c:pt>
                <c:pt idx="249">
                  <c:v>11596.4</c:v>
                </c:pt>
                <c:pt idx="250">
                  <c:v>11606.35</c:v>
                </c:pt>
                <c:pt idx="251">
                  <c:v>11770.18</c:v>
                </c:pt>
                <c:pt idx="252">
                  <c:v>11795.45</c:v>
                </c:pt>
                <c:pt idx="253">
                  <c:v>11614.11</c:v>
                </c:pt>
                <c:pt idx="254">
                  <c:v>11610.5</c:v>
                </c:pt>
                <c:pt idx="255">
                  <c:v>11496.88</c:v>
                </c:pt>
                <c:pt idx="256">
                  <c:v>11594.97</c:v>
                </c:pt>
                <c:pt idx="257">
                  <c:v>11434.01</c:v>
                </c:pt>
                <c:pt idx="258">
                  <c:v>11385.68</c:v>
                </c:pt>
                <c:pt idx="259">
                  <c:v>11514.59</c:v>
                </c:pt>
                <c:pt idx="260">
                  <c:v>11521.96</c:v>
                </c:pt>
                <c:pt idx="261">
                  <c:v>11443.8</c:v>
                </c:pt>
                <c:pt idx="262">
                  <c:v>11540.8</c:v>
                </c:pt>
                <c:pt idx="263">
                  <c:v>11545.06</c:v>
                </c:pt>
                <c:pt idx="264">
                  <c:v>11490.79</c:v>
                </c:pt>
                <c:pt idx="265">
                  <c:v>11492.77</c:v>
                </c:pt>
                <c:pt idx="266">
                  <c:v>11642.65</c:v>
                </c:pt>
                <c:pt idx="267">
                  <c:v>11817.37</c:v>
                </c:pt>
                <c:pt idx="268">
                  <c:v>12252.32</c:v>
                </c:pt>
                <c:pt idx="269">
                  <c:v>12345.36</c:v>
                </c:pt>
                <c:pt idx="270">
                  <c:v>12214.82</c:v>
                </c:pt>
                <c:pt idx="271">
                  <c:v>12188.51</c:v>
                </c:pt>
                <c:pt idx="272">
                  <c:v>12304.55</c:v>
                </c:pt>
                <c:pt idx="273">
                  <c:v>12543.77</c:v>
                </c:pt>
                <c:pt idx="274">
                  <c:v>12649.68</c:v>
                </c:pt>
                <c:pt idx="275">
                  <c:v>12622.27</c:v>
                </c:pt>
                <c:pt idx="276">
                  <c:v>12533.98</c:v>
                </c:pt>
                <c:pt idx="277">
                  <c:v>12532.89</c:v>
                </c:pt>
                <c:pt idx="278">
                  <c:v>12527.79</c:v>
                </c:pt>
                <c:pt idx="279">
                  <c:v>12581.91</c:v>
                </c:pt>
                <c:pt idx="280">
                  <c:v>12761.27</c:v>
                </c:pt>
                <c:pt idx="281">
                  <c:v>12907.2</c:v>
                </c:pt>
                <c:pt idx="282">
                  <c:v>12937.22</c:v>
                </c:pt>
                <c:pt idx="283">
                  <c:v>12954.29</c:v>
                </c:pt>
                <c:pt idx="284">
                  <c:v>12969.67</c:v>
                </c:pt>
                <c:pt idx="285">
                  <c:v>12995.05</c:v>
                </c:pt>
                <c:pt idx="286">
                  <c:v>12783.14</c:v>
                </c:pt>
                <c:pt idx="287">
                  <c:v>12176.88</c:v>
                </c:pt>
                <c:pt idx="288">
                  <c:v>11868.96</c:v>
                </c:pt>
                <c:pt idx="289">
                  <c:v>11845.22</c:v>
                </c:pt>
                <c:pt idx="290">
                  <c:v>11993.37</c:v>
                </c:pt>
                <c:pt idx="291">
                  <c:v>11862.33</c:v>
                </c:pt>
                <c:pt idx="292">
                  <c:v>11844.87</c:v>
                </c:pt>
                <c:pt idx="293">
                  <c:v>11917.58</c:v>
                </c:pt>
                <c:pt idx="294">
                  <c:v>11893.89</c:v>
                </c:pt>
                <c:pt idx="295">
                  <c:v>11755.34</c:v>
                </c:pt>
                <c:pt idx="296">
                  <c:v>11887.86</c:v>
                </c:pt>
                <c:pt idx="297">
                  <c:v>11983.87</c:v>
                </c:pt>
                <c:pt idx="298">
                  <c:v>11964.48</c:v>
                </c:pt>
                <c:pt idx="299">
                  <c:v>11813.01</c:v>
                </c:pt>
                <c:pt idx="300">
                  <c:v>11617.03</c:v>
                </c:pt>
                <c:pt idx="301">
                  <c:v>11367.67</c:v>
                </c:pt>
                <c:pt idx="302">
                  <c:v>11497.52</c:v>
                </c:pt>
                <c:pt idx="303">
                  <c:v>11618.17</c:v>
                </c:pt>
                <c:pt idx="304">
                  <c:v>11691.77</c:v>
                </c:pt>
                <c:pt idx="305">
                  <c:v>11602.98</c:v>
                </c:pt>
                <c:pt idx="306">
                  <c:v>11623.66</c:v>
                </c:pt>
                <c:pt idx="307">
                  <c:v>11815.83</c:v>
                </c:pt>
                <c:pt idx="308">
                  <c:v>11711.06</c:v>
                </c:pt>
                <c:pt idx="309">
                  <c:v>11101.3</c:v>
                </c:pt>
                <c:pt idx="310">
                  <c:v>10750.79</c:v>
                </c:pt>
                <c:pt idx="311">
                  <c:v>10686.48</c:v>
                </c:pt>
                <c:pt idx="312">
                  <c:v>10821.32</c:v>
                </c:pt>
                <c:pt idx="313">
                  <c:v>10778.88</c:v>
                </c:pt>
                <c:pt idx="314">
                  <c:v>10620.84</c:v>
                </c:pt>
                <c:pt idx="315">
                  <c:v>10706.42</c:v>
                </c:pt>
                <c:pt idx="316">
                  <c:v>10788.23</c:v>
                </c:pt>
                <c:pt idx="317">
                  <c:v>10837.9</c:v>
                </c:pt>
                <c:pt idx="318">
                  <c:v>10888.3</c:v>
                </c:pt>
                <c:pt idx="319">
                  <c:v>10971.85</c:v>
                </c:pt>
                <c:pt idx="320">
                  <c:v>11146.81</c:v>
                </c:pt>
                <c:pt idx="321">
                  <c:v>11156.55</c:v>
                </c:pt>
                <c:pt idx="322">
                  <c:v>11046.44</c:v>
                </c:pt>
                <c:pt idx="323">
                  <c:v>11162.24</c:v>
                </c:pt>
                <c:pt idx="324">
                  <c:v>11083.89</c:v>
                </c:pt>
                <c:pt idx="325">
                  <c:v>11156.75</c:v>
                </c:pt>
                <c:pt idx="326">
                  <c:v>11197.26</c:v>
                </c:pt>
                <c:pt idx="327">
                  <c:v>11061.28</c:v>
                </c:pt>
                <c:pt idx="328">
                  <c:v>11012.41</c:v>
                </c:pt>
                <c:pt idx="329">
                  <c:v>11157.94</c:v>
                </c:pt>
                <c:pt idx="330">
                  <c:v>11121.88</c:v>
                </c:pt>
                <c:pt idx="331">
                  <c:v>10954.19</c:v>
                </c:pt>
                <c:pt idx="332">
                  <c:v>10848.48</c:v>
                </c:pt>
                <c:pt idx="333">
                  <c:v>10939.84</c:v>
                </c:pt>
                <c:pt idx="334">
                  <c:v>10827.36</c:v>
                </c:pt>
                <c:pt idx="335">
                  <c:v>10908.88</c:v>
                </c:pt>
                <c:pt idx="336">
                  <c:v>10963.04</c:v>
                </c:pt>
                <c:pt idx="337">
                  <c:v>10745.74</c:v>
                </c:pt>
                <c:pt idx="338">
                  <c:v>10851.25</c:v>
                </c:pt>
                <c:pt idx="339">
                  <c:v>10975.06</c:v>
                </c:pt>
                <c:pt idx="340">
                  <c:v>10889.93</c:v>
                </c:pt>
                <c:pt idx="341">
                  <c:v>10930.59</c:v>
                </c:pt>
                <c:pt idx="342">
                  <c:v>11026.75</c:v>
                </c:pt>
                <c:pt idx="343">
                  <c:v>11283.09</c:v>
                </c:pt>
                <c:pt idx="344">
                  <c:v>11186.43</c:v>
                </c:pt>
                <c:pt idx="345">
                  <c:v>11180.4</c:v>
                </c:pt>
                <c:pt idx="346">
                  <c:v>11230.95</c:v>
                </c:pt>
                <c:pt idx="347">
                  <c:v>10935.89</c:v>
                </c:pt>
                <c:pt idx="348">
                  <c:v>10994.01</c:v>
                </c:pt>
                <c:pt idx="349">
                  <c:v>10962.2</c:v>
                </c:pt>
                <c:pt idx="350">
                  <c:v>10929.51</c:v>
                </c:pt>
                <c:pt idx="351">
                  <c:v>11359.51</c:v>
                </c:pt>
                <c:pt idx="352">
                  <c:v>11373.16</c:v>
                </c:pt>
                <c:pt idx="353">
                  <c:v>11636.32</c:v>
                </c:pt>
                <c:pt idx="354">
                  <c:v>11835.32</c:v>
                </c:pt>
                <c:pt idx="355">
                  <c:v>11793.52</c:v>
                </c:pt>
                <c:pt idx="356">
                  <c:v>12051.44</c:v>
                </c:pt>
                <c:pt idx="357">
                  <c:v>11973.33</c:v>
                </c:pt>
                <c:pt idx="358">
                  <c:v>12013.99</c:v>
                </c:pt>
                <c:pt idx="359">
                  <c:v>12241.29</c:v>
                </c:pt>
                <c:pt idx="360">
                  <c:v>12313.9</c:v>
                </c:pt>
                <c:pt idx="361">
                  <c:v>12404.48</c:v>
                </c:pt>
                <c:pt idx="362">
                  <c:v>12637.91</c:v>
                </c:pt>
                <c:pt idx="363">
                  <c:v>12805</c:v>
                </c:pt>
                <c:pt idx="364">
                  <c:v>12620.84</c:v>
                </c:pt>
                <c:pt idx="365">
                  <c:v>12401.9</c:v>
                </c:pt>
                <c:pt idx="366">
                  <c:v>12403.63</c:v>
                </c:pt>
                <c:pt idx="367">
                  <c:v>12468.24</c:v>
                </c:pt>
                <c:pt idx="368">
                  <c:v>12518.25</c:v>
                </c:pt>
                <c:pt idx="369">
                  <c:v>13026.31</c:v>
                </c:pt>
                <c:pt idx="370">
                  <c:v>13086.86</c:v>
                </c:pt>
                <c:pt idx="371">
                  <c:v>13353.13</c:v>
                </c:pt>
                <c:pt idx="372">
                  <c:v>13241.29</c:v>
                </c:pt>
                <c:pt idx="373">
                  <c:v>12639.49</c:v>
                </c:pt>
                <c:pt idx="374">
                  <c:v>12602.29</c:v>
                </c:pt>
                <c:pt idx="375">
                  <c:v>12546.69</c:v>
                </c:pt>
                <c:pt idx="376">
                  <c:v>12481.89</c:v>
                </c:pt>
                <c:pt idx="377">
                  <c:v>12224.87</c:v>
                </c:pt>
                <c:pt idx="378">
                  <c:v>12069.84</c:v>
                </c:pt>
                <c:pt idx="379">
                  <c:v>12116.73</c:v>
                </c:pt>
                <c:pt idx="380">
                  <c:v>12158.24</c:v>
                </c:pt>
                <c:pt idx="381">
                  <c:v>12185.54</c:v>
                </c:pt>
                <c:pt idx="382">
                  <c:v>12260.43</c:v>
                </c:pt>
                <c:pt idx="383">
                  <c:v>12117.62</c:v>
                </c:pt>
                <c:pt idx="384">
                  <c:v>12134.24</c:v>
                </c:pt>
                <c:pt idx="385">
                  <c:v>12019.93</c:v>
                </c:pt>
                <c:pt idx="386">
                  <c:v>12053.91</c:v>
                </c:pt>
                <c:pt idx="387">
                  <c:v>12166.74</c:v>
                </c:pt>
                <c:pt idx="388">
                  <c:v>12203.94</c:v>
                </c:pt>
                <c:pt idx="389">
                  <c:v>12275.02</c:v>
                </c:pt>
                <c:pt idx="390">
                  <c:v>12298.32</c:v>
                </c:pt>
                <c:pt idx="391">
                  <c:v>12288.53</c:v>
                </c:pt>
                <c:pt idx="392">
                  <c:v>12318.65</c:v>
                </c:pt>
                <c:pt idx="393">
                  <c:v>12225.41</c:v>
                </c:pt>
                <c:pt idx="394">
                  <c:v>12115.69</c:v>
                </c:pt>
                <c:pt idx="395">
                  <c:v>12170.85</c:v>
                </c:pt>
                <c:pt idx="396">
                  <c:v>12166.25</c:v>
                </c:pt>
                <c:pt idx="397">
                  <c:v>12085.87</c:v>
                </c:pt>
                <c:pt idx="398">
                  <c:v>12095.46</c:v>
                </c:pt>
                <c:pt idx="399">
                  <c:v>12014.54</c:v>
                </c:pt>
                <c:pt idx="400">
                  <c:v>12084.19</c:v>
                </c:pt>
                <c:pt idx="401">
                  <c:v>12069.69</c:v>
                </c:pt>
                <c:pt idx="402">
                  <c:v>12035.66</c:v>
                </c:pt>
                <c:pt idx="403">
                  <c:v>12143.5</c:v>
                </c:pt>
                <c:pt idx="404">
                  <c:v>12095.81</c:v>
                </c:pt>
                <c:pt idx="405">
                  <c:v>12083.05</c:v>
                </c:pt>
                <c:pt idx="406">
                  <c:v>12243.86</c:v>
                </c:pt>
                <c:pt idx="407">
                  <c:v>11996.68</c:v>
                </c:pt>
                <c:pt idx="408">
                  <c:v>12069.89</c:v>
                </c:pt>
                <c:pt idx="409">
                  <c:v>12594.92</c:v>
                </c:pt>
                <c:pt idx="410">
                  <c:v>13082.7</c:v>
                </c:pt>
                <c:pt idx="411">
                  <c:v>12905.26</c:v>
                </c:pt>
                <c:pt idx="412">
                  <c:v>12617.67</c:v>
                </c:pt>
                <c:pt idx="413">
                  <c:v>12509.17</c:v>
                </c:pt>
                <c:pt idx="414">
                  <c:v>12424.99</c:v>
                </c:pt>
                <c:pt idx="415">
                  <c:v>12251.76</c:v>
                </c:pt>
                <c:pt idx="416">
                  <c:v>12244.22</c:v>
                </c:pt>
                <c:pt idx="417">
                  <c:v>12374.76</c:v>
                </c:pt>
                <c:pt idx="418">
                  <c:v>12389.46</c:v>
                </c:pt>
                <c:pt idx="419">
                  <c:v>12271.71</c:v>
                </c:pt>
                <c:pt idx="420">
                  <c:v>12399.26</c:v>
                </c:pt>
                <c:pt idx="421">
                  <c:v>12376.87</c:v>
                </c:pt>
                <c:pt idx="422">
                  <c:v>12389.36</c:v>
                </c:pt>
                <c:pt idx="423">
                  <c:v>12306.89</c:v>
                </c:pt>
                <c:pt idx="424">
                  <c:v>12459.63</c:v>
                </c:pt>
                <c:pt idx="425">
                  <c:v>12519.32</c:v>
                </c:pt>
                <c:pt idx="426">
                  <c:v>12564.45</c:v>
                </c:pt>
                <c:pt idx="427">
                  <c:v>11786.09</c:v>
                </c:pt>
                <c:pt idx="428">
                  <c:v>11864.99</c:v>
                </c:pt>
                <c:pt idx="429">
                  <c:v>11844.31</c:v>
                </c:pt>
                <c:pt idx="430">
                  <c:v>11879.54</c:v>
                </c:pt>
                <c:pt idx="431">
                  <c:v>11799.13</c:v>
                </c:pt>
                <c:pt idx="432">
                  <c:v>11865.04</c:v>
                </c:pt>
                <c:pt idx="433">
                  <c:v>11796.78</c:v>
                </c:pt>
                <c:pt idx="434">
                  <c:v>11936.92</c:v>
                </c:pt>
                <c:pt idx="435">
                  <c:v>11953.34</c:v>
                </c:pt>
                <c:pt idx="436">
                  <c:v>11872.24</c:v>
                </c:pt>
                <c:pt idx="437">
                  <c:v>11934.03</c:v>
                </c:pt>
                <c:pt idx="438">
                  <c:v>11955.2</c:v>
                </c:pt>
                <c:pt idx="439">
                  <c:v>11901.64</c:v>
                </c:pt>
                <c:pt idx="440">
                  <c:v>11991.76</c:v>
                </c:pt>
                <c:pt idx="441">
                  <c:v>12309.39</c:v>
                </c:pt>
                <c:pt idx="442">
                  <c:v>12594.83</c:v>
                </c:pt>
                <c:pt idx="443">
                  <c:v>12585.13</c:v>
                </c:pt>
                <c:pt idx="444">
                  <c:v>12593.95</c:v>
                </c:pt>
                <c:pt idx="445">
                  <c:v>12603.7</c:v>
                </c:pt>
                <c:pt idx="446">
                  <c:v>12449.78</c:v>
                </c:pt>
                <c:pt idx="447">
                  <c:v>12558.18</c:v>
                </c:pt>
                <c:pt idx="448">
                  <c:v>12422.49</c:v>
                </c:pt>
                <c:pt idx="449">
                  <c:v>12256.86</c:v>
                </c:pt>
                <c:pt idx="450">
                  <c:v>11878.81</c:v>
                </c:pt>
                <c:pt idx="451">
                  <c:v>12223.93</c:v>
                </c:pt>
                <c:pt idx="452">
                  <c:v>12150.13</c:v>
                </c:pt>
                <c:pt idx="453">
                  <c:v>12340.46</c:v>
                </c:pt>
                <c:pt idx="454">
                  <c:v>12531.62</c:v>
                </c:pt>
                <c:pt idx="455">
                  <c:v>12565.92</c:v>
                </c:pt>
                <c:pt idx="456">
                  <c:v>12645.01</c:v>
                </c:pt>
                <c:pt idx="457">
                  <c:v>12740.27</c:v>
                </c:pt>
                <c:pt idx="458">
                  <c:v>12671.96</c:v>
                </c:pt>
                <c:pt idx="459">
                  <c:v>12284.06</c:v>
                </c:pt>
                <c:pt idx="460">
                  <c:v>12220.94</c:v>
                </c:pt>
                <c:pt idx="461">
                  <c:v>12391.62</c:v>
                </c:pt>
                <c:pt idx="462">
                  <c:v>12245.44</c:v>
                </c:pt>
                <c:pt idx="463">
                  <c:v>12520.64</c:v>
                </c:pt>
                <c:pt idx="464">
                  <c:v>12558.86</c:v>
                </c:pt>
                <c:pt idx="465">
                  <c:v>12416.36</c:v>
                </c:pt>
                <c:pt idx="466">
                  <c:v>12423.42</c:v>
                </c:pt>
                <c:pt idx="467">
                  <c:v>12266.66</c:v>
                </c:pt>
                <c:pt idx="468">
                  <c:v>12291.16</c:v>
                </c:pt>
                <c:pt idx="469">
                  <c:v>12120.39</c:v>
                </c:pt>
                <c:pt idx="470">
                  <c:v>12185.12</c:v>
                </c:pt>
                <c:pt idx="471">
                  <c:v>12241.96</c:v>
                </c:pt>
                <c:pt idx="472">
                  <c:v>12538.53</c:v>
                </c:pt>
                <c:pt idx="473">
                  <c:v>12550.97</c:v>
                </c:pt>
                <c:pt idx="474">
                  <c:v>12442.48</c:v>
                </c:pt>
                <c:pt idx="475">
                  <c:v>12433.96</c:v>
                </c:pt>
                <c:pt idx="476">
                  <c:v>12648.64</c:v>
                </c:pt>
                <c:pt idx="477">
                  <c:v>12681.81</c:v>
                </c:pt>
                <c:pt idx="478">
                  <c:v>12734.49</c:v>
                </c:pt>
                <c:pt idx="479">
                  <c:v>12523.78</c:v>
                </c:pt>
                <c:pt idx="480">
                  <c:v>12457.08</c:v>
                </c:pt>
                <c:pt idx="481">
                  <c:v>12149.01</c:v>
                </c:pt>
                <c:pt idx="482">
                  <c:v>12254.02</c:v>
                </c:pt>
                <c:pt idx="483">
                  <c:v>12178.65</c:v>
                </c:pt>
                <c:pt idx="484">
                  <c:v>12029.73</c:v>
                </c:pt>
                <c:pt idx="485">
                  <c:v>12424.06</c:v>
                </c:pt>
                <c:pt idx="486">
                  <c:v>12633.98</c:v>
                </c:pt>
                <c:pt idx="487">
                  <c:v>12592.82</c:v>
                </c:pt>
                <c:pt idx="488">
                  <c:v>12176.79</c:v>
                </c:pt>
                <c:pt idx="489">
                  <c:v>12325.9</c:v>
                </c:pt>
                <c:pt idx="490">
                  <c:v>12180.86</c:v>
                </c:pt>
                <c:pt idx="491">
                  <c:v>12300.96</c:v>
                </c:pt>
                <c:pt idx="492">
                  <c:v>12319.54</c:v>
                </c:pt>
                <c:pt idx="493">
                  <c:v>12361.48</c:v>
                </c:pt>
                <c:pt idx="494">
                  <c:v>12270.53</c:v>
                </c:pt>
                <c:pt idx="495">
                  <c:v>12011.46</c:v>
                </c:pt>
                <c:pt idx="496">
                  <c:v>12090.1</c:v>
                </c:pt>
                <c:pt idx="497">
                  <c:v>11676.13</c:v>
                </c:pt>
                <c:pt idx="498">
                  <c:v>11703.57</c:v>
                </c:pt>
                <c:pt idx="499">
                  <c:v>11365.9</c:v>
                </c:pt>
                <c:pt idx="500">
                  <c:v>11403.43</c:v>
                </c:pt>
                <c:pt idx="501">
                  <c:v>11248.83</c:v>
                </c:pt>
                <c:pt idx="502">
                  <c:v>11169.69</c:v>
                </c:pt>
                <c:pt idx="503">
                  <c:v>11163.56</c:v>
                </c:pt>
                <c:pt idx="504">
                  <c:v>11277.2</c:v>
                </c:pt>
                <c:pt idx="505">
                  <c:v>11165.82</c:v>
                </c:pt>
                <c:pt idx="506">
                  <c:v>11273.43</c:v>
                </c:pt>
                <c:pt idx="507">
                  <c:v>11345.95</c:v>
                </c:pt>
                <c:pt idx="508">
                  <c:v>11436.36</c:v>
                </c:pt>
                <c:pt idx="509">
                  <c:v>11363.99</c:v>
                </c:pt>
                <c:pt idx="510">
                  <c:v>11376.48</c:v>
                </c:pt>
                <c:pt idx="511">
                  <c:v>11044.54</c:v>
                </c:pt>
                <c:pt idx="512">
                  <c:v>10928.16</c:v>
                </c:pt>
                <c:pt idx="513">
                  <c:v>11273.38</c:v>
                </c:pt>
                <c:pt idx="514">
                  <c:v>11230.84</c:v>
                </c:pt>
                <c:pt idx="515">
                  <c:v>11308.96</c:v>
                </c:pt>
                <c:pt idx="516">
                  <c:v>11442.58</c:v>
                </c:pt>
                <c:pt idx="517">
                  <c:v>11240.89</c:v>
                </c:pt>
                <c:pt idx="518">
                  <c:v>11217.71</c:v>
                </c:pt>
                <c:pt idx="519">
                  <c:v>11254.66</c:v>
                </c:pt>
                <c:pt idx="520">
                  <c:v>11140.88</c:v>
                </c:pt>
                <c:pt idx="521">
                  <c:v>10866.61</c:v>
                </c:pt>
                <c:pt idx="522">
                  <c:v>10806.87</c:v>
                </c:pt>
                <c:pt idx="523">
                  <c:v>10576.46</c:v>
                </c:pt>
                <c:pt idx="524">
                  <c:v>10495.76</c:v>
                </c:pt>
                <c:pt idx="525">
                  <c:v>10516.29</c:v>
                </c:pt>
                <c:pt idx="526">
                  <c:v>10535.16</c:v>
                </c:pt>
                <c:pt idx="527">
                  <c:v>10713.48</c:v>
                </c:pt>
                <c:pt idx="528">
                  <c:v>10632.13</c:v>
                </c:pt>
                <c:pt idx="529">
                  <c:v>10217.370000000001</c:v>
                </c:pt>
                <c:pt idx="530">
                  <c:v>10439.549999999999</c:v>
                </c:pt>
                <c:pt idx="531">
                  <c:v>10419.36</c:v>
                </c:pt>
                <c:pt idx="532">
                  <c:v>9980.15</c:v>
                </c:pt>
                <c:pt idx="533">
                  <c:v>9758.61</c:v>
                </c:pt>
                <c:pt idx="534">
                  <c:v>9794.14</c:v>
                </c:pt>
                <c:pt idx="535">
                  <c:v>9689.57</c:v>
                </c:pt>
                <c:pt idx="536">
                  <c:v>9771.2099999999991</c:v>
                </c:pt>
                <c:pt idx="537">
                  <c:v>9666.93</c:v>
                </c:pt>
                <c:pt idx="538">
                  <c:v>9830.94</c:v>
                </c:pt>
                <c:pt idx="539">
                  <c:v>9851.82</c:v>
                </c:pt>
                <c:pt idx="540">
                  <c:v>9984.27</c:v>
                </c:pt>
                <c:pt idx="541">
                  <c:v>9885.24</c:v>
                </c:pt>
                <c:pt idx="542">
                  <c:v>9763.56</c:v>
                </c:pt>
                <c:pt idx="543">
                  <c:v>9808.4</c:v>
                </c:pt>
                <c:pt idx="544">
                  <c:v>9802.52</c:v>
                </c:pt>
                <c:pt idx="545">
                  <c:v>9823.1</c:v>
                </c:pt>
                <c:pt idx="546">
                  <c:v>9748.86</c:v>
                </c:pt>
                <c:pt idx="547">
                  <c:v>9818.93</c:v>
                </c:pt>
                <c:pt idx="548">
                  <c:v>9815.99</c:v>
                </c:pt>
                <c:pt idx="549">
                  <c:v>9874.4500000000007</c:v>
                </c:pt>
                <c:pt idx="550">
                  <c:v>9993.2900000000009</c:v>
                </c:pt>
                <c:pt idx="551">
                  <c:v>10076.64</c:v>
                </c:pt>
                <c:pt idx="552">
                  <c:v>10093.94</c:v>
                </c:pt>
                <c:pt idx="553">
                  <c:v>10068.209999999999</c:v>
                </c:pt>
                <c:pt idx="554">
                  <c:v>10080.219999999999</c:v>
                </c:pt>
                <c:pt idx="555">
                  <c:v>10068.700000000001</c:v>
                </c:pt>
                <c:pt idx="556">
                  <c:v>10011.120000000001</c:v>
                </c:pt>
                <c:pt idx="557">
                  <c:v>9814.33</c:v>
                </c:pt>
                <c:pt idx="558">
                  <c:v>9869.2099999999991</c:v>
                </c:pt>
                <c:pt idx="559">
                  <c:v>10031.07</c:v>
                </c:pt>
                <c:pt idx="560">
                  <c:v>10115.06</c:v>
                </c:pt>
                <c:pt idx="561">
                  <c:v>10081.44</c:v>
                </c:pt>
                <c:pt idx="562">
                  <c:v>10149.65</c:v>
                </c:pt>
                <c:pt idx="563">
                  <c:v>10179.59</c:v>
                </c:pt>
                <c:pt idx="564">
                  <c:v>10134.9</c:v>
                </c:pt>
                <c:pt idx="565">
                  <c:v>10328.120000000001</c:v>
                </c:pt>
                <c:pt idx="566">
                  <c:v>10389.42</c:v>
                </c:pt>
                <c:pt idx="567">
                  <c:v>10479.34</c:v>
                </c:pt>
                <c:pt idx="568">
                  <c:v>10413.530000000001</c:v>
                </c:pt>
                <c:pt idx="569">
                  <c:v>10504.73</c:v>
                </c:pt>
                <c:pt idx="570">
                  <c:v>10392.41</c:v>
                </c:pt>
                <c:pt idx="571">
                  <c:v>10372.91</c:v>
                </c:pt>
                <c:pt idx="572">
                  <c:v>10392.56</c:v>
                </c:pt>
                <c:pt idx="573">
                  <c:v>10378.94</c:v>
                </c:pt>
                <c:pt idx="574">
                  <c:v>10326.94</c:v>
                </c:pt>
                <c:pt idx="575">
                  <c:v>10308.27</c:v>
                </c:pt>
                <c:pt idx="576">
                  <c:v>10284.66</c:v>
                </c:pt>
                <c:pt idx="577">
                  <c:v>10286.620000000001</c:v>
                </c:pt>
                <c:pt idx="578">
                  <c:v>10320.67</c:v>
                </c:pt>
                <c:pt idx="579">
                  <c:v>10355.86</c:v>
                </c:pt>
                <c:pt idx="580">
                  <c:v>10314.15</c:v>
                </c:pt>
                <c:pt idx="581">
                  <c:v>10267.85</c:v>
                </c:pt>
                <c:pt idx="582">
                  <c:v>10251.48</c:v>
                </c:pt>
                <c:pt idx="583">
                  <c:v>10187.19</c:v>
                </c:pt>
                <c:pt idx="584">
                  <c:v>10183.370000000001</c:v>
                </c:pt>
                <c:pt idx="585">
                  <c:v>10193.61</c:v>
                </c:pt>
                <c:pt idx="586">
                  <c:v>10110.549999999999</c:v>
                </c:pt>
                <c:pt idx="587">
                  <c:v>10045.52</c:v>
                </c:pt>
                <c:pt idx="588">
                  <c:v>10076.540000000001</c:v>
                </c:pt>
                <c:pt idx="589">
                  <c:v>10067.280000000001</c:v>
                </c:pt>
                <c:pt idx="590">
                  <c:v>10101.43</c:v>
                </c:pt>
                <c:pt idx="591">
                  <c:v>10019.65</c:v>
                </c:pt>
                <c:pt idx="592">
                  <c:v>10183.81</c:v>
                </c:pt>
                <c:pt idx="593">
                  <c:v>10185.23</c:v>
                </c:pt>
                <c:pt idx="594">
                  <c:v>10342.379999999999</c:v>
                </c:pt>
                <c:pt idx="595">
                  <c:v>10218.450000000001</c:v>
                </c:pt>
                <c:pt idx="596">
                  <c:v>10384.86</c:v>
                </c:pt>
                <c:pt idx="597">
                  <c:v>10339.34</c:v>
                </c:pt>
                <c:pt idx="598">
                  <c:v>10513.01</c:v>
                </c:pt>
                <c:pt idx="599">
                  <c:v>10555.39</c:v>
                </c:pt>
                <c:pt idx="600">
                  <c:v>10576.71</c:v>
                </c:pt>
                <c:pt idx="601">
                  <c:v>10527.76</c:v>
                </c:pt>
                <c:pt idx="602">
                  <c:v>10495.51</c:v>
                </c:pt>
                <c:pt idx="603">
                  <c:v>10511.68</c:v>
                </c:pt>
                <c:pt idx="604">
                  <c:v>10365.459999999999</c:v>
                </c:pt>
                <c:pt idx="605">
                  <c:v>10202.280000000001</c:v>
                </c:pt>
                <c:pt idx="606">
                  <c:v>10166.799999999999</c:v>
                </c:pt>
                <c:pt idx="607">
                  <c:v>10034.01</c:v>
                </c:pt>
                <c:pt idx="608">
                  <c:v>10095.16</c:v>
                </c:pt>
                <c:pt idx="609">
                  <c:v>10013.92</c:v>
                </c:pt>
                <c:pt idx="610">
                  <c:v>9932.7199999999993</c:v>
                </c:pt>
                <c:pt idx="611">
                  <c:v>10134.61</c:v>
                </c:pt>
                <c:pt idx="612">
                  <c:v>10390.209999999999</c:v>
                </c:pt>
                <c:pt idx="613">
                  <c:v>10356.15</c:v>
                </c:pt>
                <c:pt idx="614">
                  <c:v>10462.040000000001</c:v>
                </c:pt>
                <c:pt idx="615">
                  <c:v>10339.15</c:v>
                </c:pt>
                <c:pt idx="616">
                  <c:v>10375.06</c:v>
                </c:pt>
                <c:pt idx="617">
                  <c:v>10326.26</c:v>
                </c:pt>
                <c:pt idx="618">
                  <c:v>10090.6</c:v>
                </c:pt>
                <c:pt idx="619">
                  <c:v>10142.01</c:v>
                </c:pt>
                <c:pt idx="620">
                  <c:v>10312.44</c:v>
                </c:pt>
                <c:pt idx="621">
                  <c:v>10317.83</c:v>
                </c:pt>
                <c:pt idx="622">
                  <c:v>10280.049999999999</c:v>
                </c:pt>
                <c:pt idx="623">
                  <c:v>10264.91</c:v>
                </c:pt>
                <c:pt idx="624">
                  <c:v>10293.280000000001</c:v>
                </c:pt>
                <c:pt idx="625">
                  <c:v>10324.74</c:v>
                </c:pt>
                <c:pt idx="626">
                  <c:v>10126.43</c:v>
                </c:pt>
                <c:pt idx="627">
                  <c:v>10078.06</c:v>
                </c:pt>
                <c:pt idx="628">
                  <c:v>9997.6</c:v>
                </c:pt>
                <c:pt idx="629">
                  <c:v>10061.5</c:v>
                </c:pt>
                <c:pt idx="630">
                  <c:v>10155.48</c:v>
                </c:pt>
                <c:pt idx="631">
                  <c:v>10125.69</c:v>
                </c:pt>
                <c:pt idx="632">
                  <c:v>9807.4699999999993</c:v>
                </c:pt>
                <c:pt idx="633">
                  <c:v>9569.61</c:v>
                </c:pt>
                <c:pt idx="634">
                  <c:v>9428.19</c:v>
                </c:pt>
                <c:pt idx="635">
                  <c:v>9403.64</c:v>
                </c:pt>
                <c:pt idx="636">
                  <c:v>9318.81</c:v>
                </c:pt>
                <c:pt idx="637">
                  <c:v>9379.2800000000007</c:v>
                </c:pt>
                <c:pt idx="638">
                  <c:v>9406.2800000000007</c:v>
                </c:pt>
                <c:pt idx="639">
                  <c:v>9304.07</c:v>
                </c:pt>
                <c:pt idx="640">
                  <c:v>9247.52</c:v>
                </c:pt>
                <c:pt idx="641">
                  <c:v>9275.2999999999993</c:v>
                </c:pt>
                <c:pt idx="642">
                  <c:v>9185.0400000000009</c:v>
                </c:pt>
                <c:pt idx="643">
                  <c:v>9230.85</c:v>
                </c:pt>
                <c:pt idx="644">
                  <c:v>9127.66</c:v>
                </c:pt>
                <c:pt idx="645">
                  <c:v>9168.6200000000008</c:v>
                </c:pt>
                <c:pt idx="646">
                  <c:v>9209.64</c:v>
                </c:pt>
                <c:pt idx="647">
                  <c:v>9274.56</c:v>
                </c:pt>
                <c:pt idx="648">
                  <c:v>9353.61</c:v>
                </c:pt>
                <c:pt idx="649">
                  <c:v>9325.77</c:v>
                </c:pt>
                <c:pt idx="650">
                  <c:v>9274.52</c:v>
                </c:pt>
                <c:pt idx="651">
                  <c:v>9351.7000000000007</c:v>
                </c:pt>
                <c:pt idx="652">
                  <c:v>9476.01</c:v>
                </c:pt>
                <c:pt idx="653">
                  <c:v>9561.7199999999993</c:v>
                </c:pt>
                <c:pt idx="654">
                  <c:v>9501.2999999999993</c:v>
                </c:pt>
                <c:pt idx="655">
                  <c:v>9573.24</c:v>
                </c:pt>
                <c:pt idx="656">
                  <c:v>9579.85</c:v>
                </c:pt>
                <c:pt idx="657">
                  <c:v>9415.1</c:v>
                </c:pt>
                <c:pt idx="658">
                  <c:v>9494.69</c:v>
                </c:pt>
                <c:pt idx="659">
                  <c:v>9412.2099999999991</c:v>
                </c:pt>
                <c:pt idx="660">
                  <c:v>9543.2900000000009</c:v>
                </c:pt>
                <c:pt idx="661">
                  <c:v>9653.99</c:v>
                </c:pt>
                <c:pt idx="662">
                  <c:v>9591.51</c:v>
                </c:pt>
                <c:pt idx="663">
                  <c:v>9350.18</c:v>
                </c:pt>
                <c:pt idx="664">
                  <c:v>9269.6200000000008</c:v>
                </c:pt>
                <c:pt idx="665">
                  <c:v>9276.3799999999992</c:v>
                </c:pt>
                <c:pt idx="666">
                  <c:v>9137.5499999999993</c:v>
                </c:pt>
                <c:pt idx="667">
                  <c:v>9203.7099999999991</c:v>
                </c:pt>
                <c:pt idx="668">
                  <c:v>9249.18</c:v>
                </c:pt>
                <c:pt idx="669">
                  <c:v>9306.81</c:v>
                </c:pt>
                <c:pt idx="670">
                  <c:v>9336.85</c:v>
                </c:pt>
                <c:pt idx="671">
                  <c:v>9411.0400000000009</c:v>
                </c:pt>
                <c:pt idx="672">
                  <c:v>9400.01</c:v>
                </c:pt>
                <c:pt idx="673">
                  <c:v>9342.5300000000007</c:v>
                </c:pt>
                <c:pt idx="674">
                  <c:v>9331.6</c:v>
                </c:pt>
                <c:pt idx="675">
                  <c:v>9358.9500000000007</c:v>
                </c:pt>
                <c:pt idx="676">
                  <c:v>9434.7999999999993</c:v>
                </c:pt>
                <c:pt idx="677">
                  <c:v>9462.24</c:v>
                </c:pt>
                <c:pt idx="678">
                  <c:v>9517.67</c:v>
                </c:pt>
                <c:pt idx="679">
                  <c:v>9537.7099999999991</c:v>
                </c:pt>
                <c:pt idx="680">
                  <c:v>9389.9699999999993</c:v>
                </c:pt>
                <c:pt idx="681">
                  <c:v>9299.51</c:v>
                </c:pt>
                <c:pt idx="682">
                  <c:v>9141.7199999999993</c:v>
                </c:pt>
                <c:pt idx="683">
                  <c:v>9171.3700000000008</c:v>
                </c:pt>
                <c:pt idx="684">
                  <c:v>9193.76</c:v>
                </c:pt>
                <c:pt idx="685">
                  <c:v>9209.69</c:v>
                </c:pt>
                <c:pt idx="686">
                  <c:v>9096.7800000000007</c:v>
                </c:pt>
                <c:pt idx="687">
                  <c:v>9084.9699999999993</c:v>
                </c:pt>
                <c:pt idx="688">
                  <c:v>9015.68</c:v>
                </c:pt>
                <c:pt idx="689">
                  <c:v>8974.7199999999993</c:v>
                </c:pt>
                <c:pt idx="690">
                  <c:v>8925.0300000000007</c:v>
                </c:pt>
                <c:pt idx="691">
                  <c:v>8940.86</c:v>
                </c:pt>
                <c:pt idx="692">
                  <c:v>8890.9699999999993</c:v>
                </c:pt>
                <c:pt idx="693">
                  <c:v>9019.65</c:v>
                </c:pt>
                <c:pt idx="694">
                  <c:v>9110.85</c:v>
                </c:pt>
                <c:pt idx="695">
                  <c:v>9077.3799999999992</c:v>
                </c:pt>
                <c:pt idx="696">
                  <c:v>8982.9500000000007</c:v>
                </c:pt>
                <c:pt idx="697">
                  <c:v>8930.57</c:v>
                </c:pt>
                <c:pt idx="698">
                  <c:v>8895.73</c:v>
                </c:pt>
                <c:pt idx="699">
                  <c:v>8749.06</c:v>
                </c:pt>
                <c:pt idx="700">
                  <c:v>8625.3799999999992</c:v>
                </c:pt>
                <c:pt idx="701">
                  <c:v>8622.68</c:v>
                </c:pt>
                <c:pt idx="702">
                  <c:v>8598.77</c:v>
                </c:pt>
                <c:pt idx="703">
                  <c:v>8418.5400000000009</c:v>
                </c:pt>
                <c:pt idx="704">
                  <c:v>8371.35</c:v>
                </c:pt>
                <c:pt idx="705">
                  <c:v>8333.52</c:v>
                </c:pt>
                <c:pt idx="706">
                  <c:v>8312.11</c:v>
                </c:pt>
                <c:pt idx="707">
                  <c:v>8294.27</c:v>
                </c:pt>
                <c:pt idx="708">
                  <c:v>8387.08</c:v>
                </c:pt>
                <c:pt idx="709">
                  <c:v>8546.34</c:v>
                </c:pt>
                <c:pt idx="710">
                  <c:v>8507.14</c:v>
                </c:pt>
                <c:pt idx="711">
                  <c:v>8560.5499999999993</c:v>
                </c:pt>
                <c:pt idx="712">
                  <c:v>8504.69</c:v>
                </c:pt>
                <c:pt idx="713">
                  <c:v>8499.74</c:v>
                </c:pt>
                <c:pt idx="714">
                  <c:v>8451.86</c:v>
                </c:pt>
                <c:pt idx="715">
                  <c:v>8483.9599999999991</c:v>
                </c:pt>
                <c:pt idx="716">
                  <c:v>8363.85</c:v>
                </c:pt>
                <c:pt idx="717">
                  <c:v>8344.5</c:v>
                </c:pt>
                <c:pt idx="718">
                  <c:v>8284.66</c:v>
                </c:pt>
                <c:pt idx="719">
                  <c:v>8332.39</c:v>
                </c:pt>
                <c:pt idx="720">
                  <c:v>8127.22</c:v>
                </c:pt>
                <c:pt idx="721">
                  <c:v>8123.99</c:v>
                </c:pt>
                <c:pt idx="722">
                  <c:v>8040.88</c:v>
                </c:pt>
                <c:pt idx="723">
                  <c:v>8109.82</c:v>
                </c:pt>
                <c:pt idx="724">
                  <c:v>8071.94</c:v>
                </c:pt>
                <c:pt idx="725">
                  <c:v>8173.28</c:v>
                </c:pt>
                <c:pt idx="726">
                  <c:v>8087.09</c:v>
                </c:pt>
                <c:pt idx="727">
                  <c:v>8064.1</c:v>
                </c:pt>
                <c:pt idx="728">
                  <c:v>8054.89</c:v>
                </c:pt>
                <c:pt idx="729">
                  <c:v>8144.96</c:v>
                </c:pt>
                <c:pt idx="730">
                  <c:v>8267.51</c:v>
                </c:pt>
                <c:pt idx="731">
                  <c:v>8303.0400000000009</c:v>
                </c:pt>
                <c:pt idx="732">
                  <c:v>8345.6200000000008</c:v>
                </c:pt>
                <c:pt idx="733">
                  <c:v>8347.68</c:v>
                </c:pt>
                <c:pt idx="734">
                  <c:v>8426.5300000000007</c:v>
                </c:pt>
                <c:pt idx="735">
                  <c:v>8371.99</c:v>
                </c:pt>
                <c:pt idx="736">
                  <c:v>8520.07</c:v>
                </c:pt>
                <c:pt idx="737">
                  <c:v>8458.48</c:v>
                </c:pt>
                <c:pt idx="738">
                  <c:v>8425.11</c:v>
                </c:pt>
                <c:pt idx="739">
                  <c:v>8380.51</c:v>
                </c:pt>
                <c:pt idx="740">
                  <c:v>8588.77</c:v>
                </c:pt>
                <c:pt idx="741">
                  <c:v>8453.7199999999993</c:v>
                </c:pt>
                <c:pt idx="742">
                  <c:v>8461.91</c:v>
                </c:pt>
                <c:pt idx="743">
                  <c:v>8486.75</c:v>
                </c:pt>
                <c:pt idx="744">
                  <c:v>8570.59</c:v>
                </c:pt>
                <c:pt idx="745">
                  <c:v>8482.14</c:v>
                </c:pt>
                <c:pt idx="746">
                  <c:v>8495.67</c:v>
                </c:pt>
                <c:pt idx="747">
                  <c:v>8516.99</c:v>
                </c:pt>
                <c:pt idx="748">
                  <c:v>8631.36</c:v>
                </c:pt>
                <c:pt idx="749">
                  <c:v>8628.2199999999993</c:v>
                </c:pt>
                <c:pt idx="750">
                  <c:v>8669.09</c:v>
                </c:pt>
                <c:pt idx="751">
                  <c:v>8599.5499999999993</c:v>
                </c:pt>
                <c:pt idx="752">
                  <c:v>8633.7099999999991</c:v>
                </c:pt>
                <c:pt idx="753">
                  <c:v>8638.41</c:v>
                </c:pt>
                <c:pt idx="754">
                  <c:v>8626.51</c:v>
                </c:pt>
                <c:pt idx="755">
                  <c:v>8655.2199999999993</c:v>
                </c:pt>
                <c:pt idx="756">
                  <c:v>8579.51</c:v>
                </c:pt>
                <c:pt idx="757">
                  <c:v>8730.1</c:v>
                </c:pt>
                <c:pt idx="758">
                  <c:v>8764.69</c:v>
                </c:pt>
                <c:pt idx="759">
                  <c:v>8691.73</c:v>
                </c:pt>
                <c:pt idx="760">
                  <c:v>8586.2800000000007</c:v>
                </c:pt>
                <c:pt idx="761">
                  <c:v>8713.93</c:v>
                </c:pt>
                <c:pt idx="762">
                  <c:v>8642.68</c:v>
                </c:pt>
                <c:pt idx="763">
                  <c:v>8560.6</c:v>
                </c:pt>
                <c:pt idx="764">
                  <c:v>8606.56</c:v>
                </c:pt>
                <c:pt idx="765">
                  <c:v>8525.07</c:v>
                </c:pt>
                <c:pt idx="766">
                  <c:v>8255.1200000000008</c:v>
                </c:pt>
                <c:pt idx="767">
                  <c:v>8275.16</c:v>
                </c:pt>
                <c:pt idx="768">
                  <c:v>8333.23</c:v>
                </c:pt>
                <c:pt idx="769">
                  <c:v>8326.56</c:v>
                </c:pt>
                <c:pt idx="770">
                  <c:v>8303.92</c:v>
                </c:pt>
                <c:pt idx="771">
                  <c:v>8217.2900000000009</c:v>
                </c:pt>
                <c:pt idx="772">
                  <c:v>8284.0300000000007</c:v>
                </c:pt>
                <c:pt idx="773">
                  <c:v>8199.01</c:v>
                </c:pt>
                <c:pt idx="774">
                  <c:v>8119.43</c:v>
                </c:pt>
                <c:pt idx="775">
                  <c:v>8127.71</c:v>
                </c:pt>
                <c:pt idx="776">
                  <c:v>8210.6200000000008</c:v>
                </c:pt>
                <c:pt idx="777">
                  <c:v>8217.68</c:v>
                </c:pt>
                <c:pt idx="778">
                  <c:v>8291.08</c:v>
                </c:pt>
                <c:pt idx="779">
                  <c:v>8253.99</c:v>
                </c:pt>
                <c:pt idx="780">
                  <c:v>8219</c:v>
                </c:pt>
                <c:pt idx="781">
                  <c:v>8238.9500000000007</c:v>
                </c:pt>
                <c:pt idx="782">
                  <c:v>8235.0300000000007</c:v>
                </c:pt>
                <c:pt idx="783">
                  <c:v>8269.82</c:v>
                </c:pt>
                <c:pt idx="784">
                  <c:v>8259.58</c:v>
                </c:pt>
                <c:pt idx="785">
                  <c:v>8135.16</c:v>
                </c:pt>
                <c:pt idx="786">
                  <c:v>8088.16</c:v>
                </c:pt>
                <c:pt idx="787">
                  <c:v>7980.85</c:v>
                </c:pt>
                <c:pt idx="788">
                  <c:v>8173.04</c:v>
                </c:pt>
                <c:pt idx="789">
                  <c:v>8181.76</c:v>
                </c:pt>
                <c:pt idx="790">
                  <c:v>8352.19</c:v>
                </c:pt>
                <c:pt idx="791">
                  <c:v>8436.52</c:v>
                </c:pt>
                <c:pt idx="792">
                  <c:v>8315.39</c:v>
                </c:pt>
                <c:pt idx="793">
                  <c:v>8412.76</c:v>
                </c:pt>
                <c:pt idx="794">
                  <c:v>8469.31</c:v>
                </c:pt>
                <c:pt idx="795">
                  <c:v>8449.7099999999991</c:v>
                </c:pt>
                <c:pt idx="796">
                  <c:v>8486.41</c:v>
                </c:pt>
                <c:pt idx="797">
                  <c:v>8442.94</c:v>
                </c:pt>
                <c:pt idx="798">
                  <c:v>8509.0499999999993</c:v>
                </c:pt>
                <c:pt idx="799">
                  <c:v>8483.0300000000007</c:v>
                </c:pt>
                <c:pt idx="800">
                  <c:v>8541.83</c:v>
                </c:pt>
                <c:pt idx="801">
                  <c:v>8618.3700000000008</c:v>
                </c:pt>
                <c:pt idx="802">
                  <c:v>8639.25</c:v>
                </c:pt>
                <c:pt idx="803">
                  <c:v>8777.73</c:v>
                </c:pt>
                <c:pt idx="804">
                  <c:v>8797.8700000000008</c:v>
                </c:pt>
                <c:pt idx="805">
                  <c:v>8733.58</c:v>
                </c:pt>
                <c:pt idx="806">
                  <c:v>8825.26</c:v>
                </c:pt>
                <c:pt idx="807">
                  <c:v>8836.73</c:v>
                </c:pt>
                <c:pt idx="808">
                  <c:v>8773.3700000000008</c:v>
                </c:pt>
                <c:pt idx="809">
                  <c:v>8758.0300000000007</c:v>
                </c:pt>
                <c:pt idx="810">
                  <c:v>8693.59</c:v>
                </c:pt>
                <c:pt idx="811">
                  <c:v>8684.82</c:v>
                </c:pt>
                <c:pt idx="812">
                  <c:v>8668.5</c:v>
                </c:pt>
                <c:pt idx="813">
                  <c:v>8806.59</c:v>
                </c:pt>
                <c:pt idx="814">
                  <c:v>8952.81</c:v>
                </c:pt>
                <c:pt idx="815">
                  <c:v>8976.2900000000009</c:v>
                </c:pt>
                <c:pt idx="816">
                  <c:v>8969.82</c:v>
                </c:pt>
                <c:pt idx="817">
                  <c:v>8907</c:v>
                </c:pt>
                <c:pt idx="818">
                  <c:v>8904.7900000000009</c:v>
                </c:pt>
                <c:pt idx="819">
                  <c:v>9064.34</c:v>
                </c:pt>
                <c:pt idx="820">
                  <c:v>9135.1</c:v>
                </c:pt>
                <c:pt idx="821">
                  <c:v>9042.49</c:v>
                </c:pt>
                <c:pt idx="822">
                  <c:v>9052.09</c:v>
                </c:pt>
                <c:pt idx="823">
                  <c:v>9044.16</c:v>
                </c:pt>
                <c:pt idx="824">
                  <c:v>9266.7199999999993</c:v>
                </c:pt>
                <c:pt idx="825">
                  <c:v>9335.52</c:v>
                </c:pt>
                <c:pt idx="826">
                  <c:v>9304.7000000000007</c:v>
                </c:pt>
                <c:pt idx="827">
                  <c:v>8865.59</c:v>
                </c:pt>
                <c:pt idx="828">
                  <c:v>8824.82</c:v>
                </c:pt>
                <c:pt idx="829">
                  <c:v>8591.4699999999993</c:v>
                </c:pt>
                <c:pt idx="830">
                  <c:v>8526.2999999999993</c:v>
                </c:pt>
                <c:pt idx="831">
                  <c:v>8535.9</c:v>
                </c:pt>
                <c:pt idx="832">
                  <c:v>8547.86</c:v>
                </c:pt>
                <c:pt idx="833">
                  <c:v>8625.7199999999993</c:v>
                </c:pt>
                <c:pt idx="834">
                  <c:v>8553.69</c:v>
                </c:pt>
                <c:pt idx="835">
                  <c:v>8445.39</c:v>
                </c:pt>
                <c:pt idx="836">
                  <c:v>8472.5400000000009</c:v>
                </c:pt>
                <c:pt idx="837">
                  <c:v>8512.58</c:v>
                </c:pt>
                <c:pt idx="838">
                  <c:v>8508.75</c:v>
                </c:pt>
                <c:pt idx="839">
                  <c:v>8688.69</c:v>
                </c:pt>
                <c:pt idx="840">
                  <c:v>8607.74</c:v>
                </c:pt>
                <c:pt idx="841">
                  <c:v>8528.65</c:v>
                </c:pt>
                <c:pt idx="842">
                  <c:v>8514.14</c:v>
                </c:pt>
                <c:pt idx="843">
                  <c:v>8373.9500000000007</c:v>
                </c:pt>
                <c:pt idx="844">
                  <c:v>8647.5300000000007</c:v>
                </c:pt>
                <c:pt idx="845">
                  <c:v>8448.9699999999993</c:v>
                </c:pt>
                <c:pt idx="846">
                  <c:v>8542.32</c:v>
                </c:pt>
                <c:pt idx="847">
                  <c:v>8597.64</c:v>
                </c:pt>
                <c:pt idx="848">
                  <c:v>8654.44</c:v>
                </c:pt>
                <c:pt idx="849">
                  <c:v>9157.5</c:v>
                </c:pt>
                <c:pt idx="850">
                  <c:v>9216.25</c:v>
                </c:pt>
                <c:pt idx="851">
                  <c:v>9064.2000000000007</c:v>
                </c:pt>
                <c:pt idx="852">
                  <c:v>9111.44</c:v>
                </c:pt>
                <c:pt idx="853">
                  <c:v>9098.16</c:v>
                </c:pt>
                <c:pt idx="854">
                  <c:v>9041.56</c:v>
                </c:pt>
                <c:pt idx="855">
                  <c:v>9060.77</c:v>
                </c:pt>
                <c:pt idx="856">
                  <c:v>8777.34</c:v>
                </c:pt>
                <c:pt idx="857">
                  <c:v>8748.1299999999992</c:v>
                </c:pt>
                <c:pt idx="858">
                  <c:v>8749.9</c:v>
                </c:pt>
                <c:pt idx="859">
                  <c:v>8767.24</c:v>
                </c:pt>
                <c:pt idx="860">
                  <c:v>8612.34</c:v>
                </c:pt>
                <c:pt idx="861">
                  <c:v>8606.91</c:v>
                </c:pt>
                <c:pt idx="862">
                  <c:v>8706.68</c:v>
                </c:pt>
                <c:pt idx="863">
                  <c:v>8760.58</c:v>
                </c:pt>
                <c:pt idx="864">
                  <c:v>8742.15</c:v>
                </c:pt>
                <c:pt idx="865">
                  <c:v>8847.85</c:v>
                </c:pt>
                <c:pt idx="866">
                  <c:v>8910.5300000000007</c:v>
                </c:pt>
                <c:pt idx="867">
                  <c:v>8656.5400000000009</c:v>
                </c:pt>
                <c:pt idx="868">
                  <c:v>8545.26</c:v>
                </c:pt>
                <c:pt idx="869">
                  <c:v>8558</c:v>
                </c:pt>
                <c:pt idx="870">
                  <c:v>8518.41</c:v>
                </c:pt>
                <c:pt idx="871">
                  <c:v>8547.81</c:v>
                </c:pt>
                <c:pt idx="872">
                  <c:v>8451.4699999999993</c:v>
                </c:pt>
                <c:pt idx="873">
                  <c:v>8602.4</c:v>
                </c:pt>
                <c:pt idx="874">
                  <c:v>8760.9699999999993</c:v>
                </c:pt>
                <c:pt idx="875">
                  <c:v>8768.91</c:v>
                </c:pt>
                <c:pt idx="876">
                  <c:v>8819.92</c:v>
                </c:pt>
                <c:pt idx="877">
                  <c:v>8525.61</c:v>
                </c:pt>
                <c:pt idx="878">
                  <c:v>8642.09</c:v>
                </c:pt>
                <c:pt idx="879">
                  <c:v>8702.31</c:v>
                </c:pt>
                <c:pt idx="880">
                  <c:v>8745.5300000000007</c:v>
                </c:pt>
                <c:pt idx="881">
                  <c:v>8659.7800000000007</c:v>
                </c:pt>
                <c:pt idx="882">
                  <c:v>8791.99</c:v>
                </c:pt>
                <c:pt idx="883">
                  <c:v>8778.02</c:v>
                </c:pt>
                <c:pt idx="884">
                  <c:v>8925.32</c:v>
                </c:pt>
                <c:pt idx="885">
                  <c:v>8766.6200000000008</c:v>
                </c:pt>
                <c:pt idx="886">
                  <c:v>8541.18</c:v>
                </c:pt>
                <c:pt idx="887">
                  <c:v>8490.4</c:v>
                </c:pt>
                <c:pt idx="888">
                  <c:v>8431.74</c:v>
                </c:pt>
                <c:pt idx="889">
                  <c:v>8297.3799999999992</c:v>
                </c:pt>
                <c:pt idx="890">
                  <c:v>8386.2199999999993</c:v>
                </c:pt>
                <c:pt idx="891">
                  <c:v>8593.36</c:v>
                </c:pt>
                <c:pt idx="892">
                  <c:v>8569.17</c:v>
                </c:pt>
                <c:pt idx="893">
                  <c:v>8514.84</c:v>
                </c:pt>
                <c:pt idx="894">
                  <c:v>8484.85</c:v>
                </c:pt>
                <c:pt idx="895">
                  <c:v>8477.5</c:v>
                </c:pt>
                <c:pt idx="896">
                  <c:v>8549.26</c:v>
                </c:pt>
                <c:pt idx="897">
                  <c:v>8336.52</c:v>
                </c:pt>
                <c:pt idx="898">
                  <c:v>8217.73</c:v>
                </c:pt>
                <c:pt idx="899">
                  <c:v>8200.06</c:v>
                </c:pt>
                <c:pt idx="900">
                  <c:v>8280.34</c:v>
                </c:pt>
                <c:pt idx="901">
                  <c:v>8252.01</c:v>
                </c:pt>
                <c:pt idx="902">
                  <c:v>8371.9599999999991</c:v>
                </c:pt>
                <c:pt idx="903">
                  <c:v>8407.25</c:v>
                </c:pt>
                <c:pt idx="904">
                  <c:v>8124.8</c:v>
                </c:pt>
                <c:pt idx="905">
                  <c:v>8217.73</c:v>
                </c:pt>
                <c:pt idx="906">
                  <c:v>8175.23</c:v>
                </c:pt>
                <c:pt idx="907">
                  <c:v>8246.89</c:v>
                </c:pt>
                <c:pt idx="908">
                  <c:v>8283.2099999999991</c:v>
                </c:pt>
                <c:pt idx="909">
                  <c:v>8264.1299999999992</c:v>
                </c:pt>
                <c:pt idx="910">
                  <c:v>8221.24</c:v>
                </c:pt>
                <c:pt idx="911">
                  <c:v>8134.93</c:v>
                </c:pt>
                <c:pt idx="912">
                  <c:v>8056.45</c:v>
                </c:pt>
                <c:pt idx="913">
                  <c:v>7576.84</c:v>
                </c:pt>
                <c:pt idx="914">
                  <c:v>7575.72</c:v>
                </c:pt>
                <c:pt idx="915">
                  <c:v>7457.91</c:v>
                </c:pt>
                <c:pt idx="916">
                  <c:v>7488.19</c:v>
                </c:pt>
                <c:pt idx="917">
                  <c:v>7626.64</c:v>
                </c:pt>
                <c:pt idx="918">
                  <c:v>7645.72</c:v>
                </c:pt>
                <c:pt idx="919">
                  <c:v>7604.83</c:v>
                </c:pt>
                <c:pt idx="920">
                  <c:v>7688.08</c:v>
                </c:pt>
                <c:pt idx="921">
                  <c:v>7725.61</c:v>
                </c:pt>
                <c:pt idx="922">
                  <c:v>7716.6</c:v>
                </c:pt>
                <c:pt idx="923">
                  <c:v>7685.01</c:v>
                </c:pt>
                <c:pt idx="924">
                  <c:v>7602.79</c:v>
                </c:pt>
                <c:pt idx="925">
                  <c:v>7507.37</c:v>
                </c:pt>
                <c:pt idx="926">
                  <c:v>7503.86</c:v>
                </c:pt>
                <c:pt idx="927">
                  <c:v>7715.82</c:v>
                </c:pt>
                <c:pt idx="928">
                  <c:v>7728.34</c:v>
                </c:pt>
                <c:pt idx="929">
                  <c:v>7760.13</c:v>
                </c:pt>
                <c:pt idx="930">
                  <c:v>7802.33</c:v>
                </c:pt>
                <c:pt idx="931">
                  <c:v>7732.23</c:v>
                </c:pt>
                <c:pt idx="932">
                  <c:v>7600.59</c:v>
                </c:pt>
                <c:pt idx="933">
                  <c:v>7580.54</c:v>
                </c:pt>
                <c:pt idx="934">
                  <c:v>7594.07</c:v>
                </c:pt>
                <c:pt idx="935">
                  <c:v>7688.03</c:v>
                </c:pt>
                <c:pt idx="936">
                  <c:v>7387.17</c:v>
                </c:pt>
                <c:pt idx="937">
                  <c:v>7213.72</c:v>
                </c:pt>
                <c:pt idx="938">
                  <c:v>7366.43</c:v>
                </c:pt>
                <c:pt idx="939">
                  <c:v>7334.84</c:v>
                </c:pt>
                <c:pt idx="940">
                  <c:v>7062.66</c:v>
                </c:pt>
                <c:pt idx="941">
                  <c:v>6914.57</c:v>
                </c:pt>
                <c:pt idx="942">
                  <c:v>7061.05</c:v>
                </c:pt>
                <c:pt idx="943">
                  <c:v>7194.54</c:v>
                </c:pt>
                <c:pt idx="944">
                  <c:v>7318.78</c:v>
                </c:pt>
                <c:pt idx="945">
                  <c:v>7165.48</c:v>
                </c:pt>
                <c:pt idx="946">
                  <c:v>7085.59</c:v>
                </c:pt>
                <c:pt idx="947">
                  <c:v>7210.22</c:v>
                </c:pt>
                <c:pt idx="948">
                  <c:v>7204.52</c:v>
                </c:pt>
                <c:pt idx="949">
                  <c:v>7528.89</c:v>
                </c:pt>
                <c:pt idx="950">
                  <c:v>7679.99</c:v>
                </c:pt>
                <c:pt idx="951">
                  <c:v>7582.58</c:v>
                </c:pt>
                <c:pt idx="952">
                  <c:v>7692.99</c:v>
                </c:pt>
                <c:pt idx="953">
                  <c:v>7702.19</c:v>
                </c:pt>
                <c:pt idx="954">
                  <c:v>7694.89</c:v>
                </c:pt>
                <c:pt idx="955">
                  <c:v>7668.21</c:v>
                </c:pt>
                <c:pt idx="956">
                  <c:v>7466.48</c:v>
                </c:pt>
                <c:pt idx="957">
                  <c:v>7241.91</c:v>
                </c:pt>
                <c:pt idx="958">
                  <c:v>7374.86</c:v>
                </c:pt>
                <c:pt idx="959">
                  <c:v>7274.86</c:v>
                </c:pt>
                <c:pt idx="960">
                  <c:v>7412.83</c:v>
                </c:pt>
                <c:pt idx="961">
                  <c:v>7365.17</c:v>
                </c:pt>
                <c:pt idx="962">
                  <c:v>7358.45</c:v>
                </c:pt>
                <c:pt idx="963">
                  <c:v>7436</c:v>
                </c:pt>
                <c:pt idx="964">
                  <c:v>7540.38</c:v>
                </c:pt>
                <c:pt idx="965">
                  <c:v>7555.9</c:v>
                </c:pt>
                <c:pt idx="966">
                  <c:v>7570.36</c:v>
                </c:pt>
                <c:pt idx="967">
                  <c:v>7489.06</c:v>
                </c:pt>
                <c:pt idx="968">
                  <c:v>7360.59</c:v>
                </c:pt>
                <c:pt idx="969">
                  <c:v>7399.98</c:v>
                </c:pt>
                <c:pt idx="970">
                  <c:v>7241.81</c:v>
                </c:pt>
                <c:pt idx="971">
                  <c:v>7279.78</c:v>
                </c:pt>
                <c:pt idx="972">
                  <c:v>7223.85</c:v>
                </c:pt>
                <c:pt idx="973">
                  <c:v>7355.29</c:v>
                </c:pt>
                <c:pt idx="974">
                  <c:v>7442.28</c:v>
                </c:pt>
                <c:pt idx="975">
                  <c:v>7558.87</c:v>
                </c:pt>
                <c:pt idx="976">
                  <c:v>7500.41</c:v>
                </c:pt>
                <c:pt idx="977">
                  <c:v>7488.87</c:v>
                </c:pt>
                <c:pt idx="978">
                  <c:v>7287.03</c:v>
                </c:pt>
                <c:pt idx="979">
                  <c:v>7221.7</c:v>
                </c:pt>
                <c:pt idx="980">
                  <c:v>7121.66</c:v>
                </c:pt>
                <c:pt idx="981">
                  <c:v>6919.29</c:v>
                </c:pt>
                <c:pt idx="982">
                  <c:v>7016.27</c:v>
                </c:pt>
                <c:pt idx="983">
                  <c:v>6844.47</c:v>
                </c:pt>
                <c:pt idx="984">
                  <c:v>6625.79</c:v>
                </c:pt>
                <c:pt idx="985">
                  <c:v>6590.54</c:v>
                </c:pt>
                <c:pt idx="986">
                  <c:v>7053.36</c:v>
                </c:pt>
                <c:pt idx="987">
                  <c:v>7397.79</c:v>
                </c:pt>
                <c:pt idx="988">
                  <c:v>7607.85</c:v>
                </c:pt>
                <c:pt idx="989">
                  <c:v>8093.21</c:v>
                </c:pt>
                <c:pt idx="990">
                  <c:v>8134.24</c:v>
                </c:pt>
                <c:pt idx="991">
                  <c:v>7992.92</c:v>
                </c:pt>
                <c:pt idx="992">
                  <c:v>8471.7999999999993</c:v>
                </c:pt>
                <c:pt idx="993">
                  <c:v>8398.83</c:v>
                </c:pt>
                <c:pt idx="994">
                  <c:v>8384.91</c:v>
                </c:pt>
                <c:pt idx="995">
                  <c:v>8329.7999999999993</c:v>
                </c:pt>
                <c:pt idx="996">
                  <c:v>8320.7900000000009</c:v>
                </c:pt>
                <c:pt idx="997">
                  <c:v>8358.33</c:v>
                </c:pt>
                <c:pt idx="998">
                  <c:v>8395.7099999999991</c:v>
                </c:pt>
                <c:pt idx="999">
                  <c:v>8510.17</c:v>
                </c:pt>
                <c:pt idx="1000">
                  <c:v>8572.58</c:v>
                </c:pt>
                <c:pt idx="1001">
                  <c:v>8715.5499999999993</c:v>
                </c:pt>
                <c:pt idx="1002">
                  <c:v>8369.3799999999992</c:v>
                </c:pt>
                <c:pt idx="1003">
                  <c:v>8286.0300000000007</c:v>
                </c:pt>
                <c:pt idx="1004">
                  <c:v>8321.18</c:v>
                </c:pt>
                <c:pt idx="1005">
                  <c:v>8363.68</c:v>
                </c:pt>
                <c:pt idx="1006">
                  <c:v>8292.2199999999993</c:v>
                </c:pt>
                <c:pt idx="1007">
                  <c:v>8331.89</c:v>
                </c:pt>
                <c:pt idx="1008">
                  <c:v>8368.01</c:v>
                </c:pt>
                <c:pt idx="1009">
                  <c:v>8327.7099999999991</c:v>
                </c:pt>
                <c:pt idx="1010">
                  <c:v>8584.7900000000009</c:v>
                </c:pt>
                <c:pt idx="1011">
                  <c:v>8373.86</c:v>
                </c:pt>
                <c:pt idx="1012">
                  <c:v>7835.14</c:v>
                </c:pt>
                <c:pt idx="1013">
                  <c:v>7972.72</c:v>
                </c:pt>
                <c:pt idx="1014">
                  <c:v>7824.48</c:v>
                </c:pt>
                <c:pt idx="1015">
                  <c:v>7797.37</c:v>
                </c:pt>
                <c:pt idx="1016">
                  <c:v>7707.01</c:v>
                </c:pt>
                <c:pt idx="1017">
                  <c:v>8046.81</c:v>
                </c:pt>
                <c:pt idx="1018">
                  <c:v>7869.07</c:v>
                </c:pt>
                <c:pt idx="1019">
                  <c:v>7862.75</c:v>
                </c:pt>
                <c:pt idx="1020">
                  <c:v>7952.61</c:v>
                </c:pt>
                <c:pt idx="1021">
                  <c:v>7929.88</c:v>
                </c:pt>
                <c:pt idx="1022">
                  <c:v>7909.68</c:v>
                </c:pt>
                <c:pt idx="1023">
                  <c:v>7699.03</c:v>
                </c:pt>
                <c:pt idx="1024">
                  <c:v>7671.38</c:v>
                </c:pt>
                <c:pt idx="1025">
                  <c:v>7568.61</c:v>
                </c:pt>
                <c:pt idx="1026">
                  <c:v>7426.56</c:v>
                </c:pt>
                <c:pt idx="1027">
                  <c:v>7321.45</c:v>
                </c:pt>
                <c:pt idx="1028">
                  <c:v>7231.1</c:v>
                </c:pt>
                <c:pt idx="1029">
                  <c:v>7092.31</c:v>
                </c:pt>
                <c:pt idx="1030">
                  <c:v>7150.97</c:v>
                </c:pt>
                <c:pt idx="1031">
                  <c:v>7104.72</c:v>
                </c:pt>
                <c:pt idx="1032">
                  <c:v>7095.81</c:v>
                </c:pt>
                <c:pt idx="1033">
                  <c:v>7123.76</c:v>
                </c:pt>
                <c:pt idx="1034">
                  <c:v>7189.92</c:v>
                </c:pt>
                <c:pt idx="1035">
                  <c:v>7231.29</c:v>
                </c:pt>
                <c:pt idx="1036">
                  <c:v>7112.71</c:v>
                </c:pt>
                <c:pt idx="1037">
                  <c:v>7097.95</c:v>
                </c:pt>
                <c:pt idx="1038">
                  <c:v>7104.19</c:v>
                </c:pt>
                <c:pt idx="1039">
                  <c:v>7256.17</c:v>
                </c:pt>
                <c:pt idx="1040">
                  <c:v>7367.26</c:v>
                </c:pt>
                <c:pt idx="1041">
                  <c:v>7293.56</c:v>
                </c:pt>
                <c:pt idx="1042">
                  <c:v>7317.27</c:v>
                </c:pt>
                <c:pt idx="1043">
                  <c:v>7230.52</c:v>
                </c:pt>
                <c:pt idx="1044">
                  <c:v>7223.65</c:v>
                </c:pt>
                <c:pt idx="1045">
                  <c:v>7241.18</c:v>
                </c:pt>
                <c:pt idx="1046">
                  <c:v>6997.72</c:v>
                </c:pt>
                <c:pt idx="1047">
                  <c:v>6856.54</c:v>
                </c:pt>
                <c:pt idx="1048">
                  <c:v>7012.27</c:v>
                </c:pt>
                <c:pt idx="1049">
                  <c:v>7131.89</c:v>
                </c:pt>
                <c:pt idx="1050">
                  <c:v>7082.96</c:v>
                </c:pt>
                <c:pt idx="1051">
                  <c:v>6899.33</c:v>
                </c:pt>
                <c:pt idx="1052">
                  <c:v>6958.29</c:v>
                </c:pt>
                <c:pt idx="1053">
                  <c:v>6981.85</c:v>
                </c:pt>
                <c:pt idx="1054">
                  <c:v>7370.38</c:v>
                </c:pt>
                <c:pt idx="1055">
                  <c:v>7462.48</c:v>
                </c:pt>
                <c:pt idx="1056">
                  <c:v>7643.34</c:v>
                </c:pt>
                <c:pt idx="1057">
                  <c:v>7657.02</c:v>
                </c:pt>
                <c:pt idx="1058">
                  <c:v>7898.92</c:v>
                </c:pt>
                <c:pt idx="1059">
                  <c:v>8054.89</c:v>
                </c:pt>
                <c:pt idx="1060">
                  <c:v>7837.43</c:v>
                </c:pt>
                <c:pt idx="1061">
                  <c:v>7303.29</c:v>
                </c:pt>
                <c:pt idx="1062">
                  <c:v>7280.41</c:v>
                </c:pt>
                <c:pt idx="1063">
                  <c:v>7256.56</c:v>
                </c:pt>
                <c:pt idx="1064">
                  <c:v>7310.65</c:v>
                </c:pt>
                <c:pt idx="1065">
                  <c:v>7377.29</c:v>
                </c:pt>
                <c:pt idx="1066">
                  <c:v>7483.9</c:v>
                </c:pt>
                <c:pt idx="1067">
                  <c:v>7540.28</c:v>
                </c:pt>
                <c:pt idx="1068">
                  <c:v>7531.76</c:v>
                </c:pt>
                <c:pt idx="1069">
                  <c:v>7586.62</c:v>
                </c:pt>
                <c:pt idx="1070">
                  <c:v>7412</c:v>
                </c:pt>
                <c:pt idx="1071">
                  <c:v>7286.11</c:v>
                </c:pt>
                <c:pt idx="1072">
                  <c:v>7179.01</c:v>
                </c:pt>
                <c:pt idx="1073">
                  <c:v>7158.66</c:v>
                </c:pt>
                <c:pt idx="1074">
                  <c:v>7103.8</c:v>
                </c:pt>
                <c:pt idx="1075">
                  <c:v>7071.76</c:v>
                </c:pt>
                <c:pt idx="1076">
                  <c:v>7215.62</c:v>
                </c:pt>
                <c:pt idx="1077">
                  <c:v>7371.79</c:v>
                </c:pt>
                <c:pt idx="1078">
                  <c:v>7392.33</c:v>
                </c:pt>
                <c:pt idx="1079">
                  <c:v>7451.43</c:v>
                </c:pt>
                <c:pt idx="1080">
                  <c:v>7450.41</c:v>
                </c:pt>
                <c:pt idx="1081">
                  <c:v>7293.12</c:v>
                </c:pt>
                <c:pt idx="1082">
                  <c:v>7287.03</c:v>
                </c:pt>
                <c:pt idx="1083">
                  <c:v>7490.14</c:v>
                </c:pt>
                <c:pt idx="1084">
                  <c:v>7494.96</c:v>
                </c:pt>
                <c:pt idx="1085">
                  <c:v>7229.98</c:v>
                </c:pt>
                <c:pt idx="1086">
                  <c:v>7293.8</c:v>
                </c:pt>
                <c:pt idx="1087">
                  <c:v>7010.86</c:v>
                </c:pt>
                <c:pt idx="1088">
                  <c:v>7057.5</c:v>
                </c:pt>
                <c:pt idx="1089">
                  <c:v>6989.15</c:v>
                </c:pt>
                <c:pt idx="1090">
                  <c:v>6970.65</c:v>
                </c:pt>
                <c:pt idx="1091">
                  <c:v>7141.43</c:v>
                </c:pt>
                <c:pt idx="1092">
                  <c:v>7186.8</c:v>
                </c:pt>
                <c:pt idx="1093">
                  <c:v>7223.7</c:v>
                </c:pt>
                <c:pt idx="1094">
                  <c:v>7209</c:v>
                </c:pt>
                <c:pt idx="1095">
                  <c:v>6767.36</c:v>
                </c:pt>
                <c:pt idx="1096">
                  <c:v>6663.76</c:v>
                </c:pt>
                <c:pt idx="1097">
                  <c:v>6648.52</c:v>
                </c:pt>
                <c:pt idx="1098">
                  <c:v>6599.16</c:v>
                </c:pt>
                <c:pt idx="1099">
                  <c:v>6770.91</c:v>
                </c:pt>
                <c:pt idx="1100">
                  <c:v>6827.62</c:v>
                </c:pt>
                <c:pt idx="1101">
                  <c:v>6751.39</c:v>
                </c:pt>
                <c:pt idx="1102">
                  <c:v>6725.83</c:v>
                </c:pt>
                <c:pt idx="1103">
                  <c:v>6717.07</c:v>
                </c:pt>
                <c:pt idx="1104">
                  <c:v>6691.75</c:v>
                </c:pt>
                <c:pt idx="1105">
                  <c:v>6622.53</c:v>
                </c:pt>
                <c:pt idx="1106">
                  <c:v>6605.93</c:v>
                </c:pt>
                <c:pt idx="1107">
                  <c:v>6695.21</c:v>
                </c:pt>
                <c:pt idx="1108">
                  <c:v>6667.12</c:v>
                </c:pt>
                <c:pt idx="1109">
                  <c:v>6682.36</c:v>
                </c:pt>
                <c:pt idx="1110">
                  <c:v>6611.96</c:v>
                </c:pt>
                <c:pt idx="1111">
                  <c:v>6606.46</c:v>
                </c:pt>
                <c:pt idx="1112">
                  <c:v>6663.81</c:v>
                </c:pt>
                <c:pt idx="1113">
                  <c:v>6617.9</c:v>
                </c:pt>
                <c:pt idx="1114">
                  <c:v>6431.65</c:v>
                </c:pt>
                <c:pt idx="1115">
                  <c:v>6434.81</c:v>
                </c:pt>
                <c:pt idx="1116">
                  <c:v>6538.75</c:v>
                </c:pt>
                <c:pt idx="1117">
                  <c:v>6628.91</c:v>
                </c:pt>
                <c:pt idx="1118">
                  <c:v>6646.77</c:v>
                </c:pt>
                <c:pt idx="1119">
                  <c:v>6667.02</c:v>
                </c:pt>
                <c:pt idx="1120">
                  <c:v>6660.99</c:v>
                </c:pt>
                <c:pt idx="1121">
                  <c:v>6706.6</c:v>
                </c:pt>
                <c:pt idx="1122">
                  <c:v>6648.77</c:v>
                </c:pt>
                <c:pt idx="1123">
                  <c:v>6814.58</c:v>
                </c:pt>
                <c:pt idx="1124">
                  <c:v>6825.19</c:v>
                </c:pt>
                <c:pt idx="1125">
                  <c:v>6838.68</c:v>
                </c:pt>
                <c:pt idx="1126">
                  <c:v>6816.82</c:v>
                </c:pt>
                <c:pt idx="1127">
                  <c:v>6894.9</c:v>
                </c:pt>
                <c:pt idx="1128">
                  <c:v>6914.96</c:v>
                </c:pt>
                <c:pt idx="1129">
                  <c:v>6841.26</c:v>
                </c:pt>
                <c:pt idx="1130">
                  <c:v>6870.9</c:v>
                </c:pt>
                <c:pt idx="1131">
                  <c:v>6962.18</c:v>
                </c:pt>
                <c:pt idx="1132">
                  <c:v>6845.12</c:v>
                </c:pt>
                <c:pt idx="1133">
                  <c:v>6751.66</c:v>
                </c:pt>
                <c:pt idx="1134">
                  <c:v>6764.43</c:v>
                </c:pt>
                <c:pt idx="1135">
                  <c:v>6917.58</c:v>
                </c:pt>
                <c:pt idx="1136">
                  <c:v>7005.86</c:v>
                </c:pt>
                <c:pt idx="1137">
                  <c:v>7000.2</c:v>
                </c:pt>
                <c:pt idx="1138">
                  <c:v>7053.03</c:v>
                </c:pt>
                <c:pt idx="1139">
                  <c:v>7058.45</c:v>
                </c:pt>
                <c:pt idx="1140">
                  <c:v>6997.93</c:v>
                </c:pt>
                <c:pt idx="1141">
                  <c:v>6932.82</c:v>
                </c:pt>
                <c:pt idx="1142">
                  <c:v>7066.04</c:v>
                </c:pt>
                <c:pt idx="1143">
                  <c:v>7069.33</c:v>
                </c:pt>
                <c:pt idx="1144">
                  <c:v>7089.84</c:v>
                </c:pt>
                <c:pt idx="1145">
                  <c:v>7185.04</c:v>
                </c:pt>
                <c:pt idx="1146">
                  <c:v>7228.09</c:v>
                </c:pt>
                <c:pt idx="1147">
                  <c:v>7183.59</c:v>
                </c:pt>
                <c:pt idx="1148">
                  <c:v>7160.13</c:v>
                </c:pt>
                <c:pt idx="1149">
                  <c:v>7208.94</c:v>
                </c:pt>
                <c:pt idx="1150">
                  <c:v>7267.47</c:v>
                </c:pt>
                <c:pt idx="1151">
                  <c:v>7350.43</c:v>
                </c:pt>
                <c:pt idx="1152">
                  <c:v>7323.53</c:v>
                </c:pt>
                <c:pt idx="1153">
                  <c:v>7339.11</c:v>
                </c:pt>
                <c:pt idx="1154">
                  <c:v>7269.35</c:v>
                </c:pt>
                <c:pt idx="1155">
                  <c:v>7241.15</c:v>
                </c:pt>
                <c:pt idx="1156">
                  <c:v>7346.8</c:v>
                </c:pt>
                <c:pt idx="1157">
                  <c:v>7395.03</c:v>
                </c:pt>
                <c:pt idx="1158">
                  <c:v>7284.64</c:v>
                </c:pt>
                <c:pt idx="1159">
                  <c:v>7191.13</c:v>
                </c:pt>
                <c:pt idx="1160">
                  <c:v>7027.44</c:v>
                </c:pt>
                <c:pt idx="1161">
                  <c:v>6676.97</c:v>
                </c:pt>
                <c:pt idx="1162">
                  <c:v>6732.31</c:v>
                </c:pt>
                <c:pt idx="1163">
                  <c:v>6742.04</c:v>
                </c:pt>
                <c:pt idx="1164">
                  <c:v>6881.25</c:v>
                </c:pt>
                <c:pt idx="1165">
                  <c:v>6935.24</c:v>
                </c:pt>
                <c:pt idx="1166">
                  <c:v>6943.32</c:v>
                </c:pt>
                <c:pt idx="1167">
                  <c:v>6985.79</c:v>
                </c:pt>
                <c:pt idx="1168">
                  <c:v>6964.94</c:v>
                </c:pt>
                <c:pt idx="1169">
                  <c:v>7004.46</c:v>
                </c:pt>
                <c:pt idx="1170">
                  <c:v>7097.05</c:v>
                </c:pt>
                <c:pt idx="1171">
                  <c:v>7042.48</c:v>
                </c:pt>
                <c:pt idx="1172">
                  <c:v>6979.26</c:v>
                </c:pt>
                <c:pt idx="1173">
                  <c:v>6972.97</c:v>
                </c:pt>
                <c:pt idx="1174">
                  <c:v>6949.41</c:v>
                </c:pt>
                <c:pt idx="1175">
                  <c:v>6860.36</c:v>
                </c:pt>
                <c:pt idx="1176">
                  <c:v>6856.78</c:v>
                </c:pt>
                <c:pt idx="1177">
                  <c:v>6729.65</c:v>
                </c:pt>
                <c:pt idx="1178">
                  <c:v>6737.59</c:v>
                </c:pt>
                <c:pt idx="1179">
                  <c:v>6799.79</c:v>
                </c:pt>
                <c:pt idx="1180">
                  <c:v>6684.96</c:v>
                </c:pt>
                <c:pt idx="1181">
                  <c:v>6661.88</c:v>
                </c:pt>
                <c:pt idx="1182">
                  <c:v>6590.05</c:v>
                </c:pt>
                <c:pt idx="1183">
                  <c:v>6518.36</c:v>
                </c:pt>
                <c:pt idx="1184">
                  <c:v>6555.17</c:v>
                </c:pt>
                <c:pt idx="1185">
                  <c:v>6589.18</c:v>
                </c:pt>
                <c:pt idx="1186">
                  <c:v>6504.76</c:v>
                </c:pt>
                <c:pt idx="1187">
                  <c:v>6518.94</c:v>
                </c:pt>
                <c:pt idx="1188">
                  <c:v>6598.51</c:v>
                </c:pt>
                <c:pt idx="1189">
                  <c:v>6519.71</c:v>
                </c:pt>
                <c:pt idx="1190">
                  <c:v>6537.51</c:v>
                </c:pt>
                <c:pt idx="1191">
                  <c:v>6484.83</c:v>
                </c:pt>
                <c:pt idx="1192">
                  <c:v>6449.04</c:v>
                </c:pt>
                <c:pt idx="1193">
                  <c:v>6377.45</c:v>
                </c:pt>
                <c:pt idx="1194">
                  <c:v>6296.37</c:v>
                </c:pt>
                <c:pt idx="1195">
                  <c:v>6383.64</c:v>
                </c:pt>
                <c:pt idx="1196">
                  <c:v>6249.64</c:v>
                </c:pt>
                <c:pt idx="1197">
                  <c:v>6354.23</c:v>
                </c:pt>
                <c:pt idx="1198">
                  <c:v>6357.32</c:v>
                </c:pt>
                <c:pt idx="1199">
                  <c:v>6344.84</c:v>
                </c:pt>
                <c:pt idx="1200">
                  <c:v>6424.56</c:v>
                </c:pt>
                <c:pt idx="1201">
                  <c:v>6457.75</c:v>
                </c:pt>
                <c:pt idx="1202">
                  <c:v>6434.04</c:v>
                </c:pt>
                <c:pt idx="1203">
                  <c:v>6428.63</c:v>
                </c:pt>
                <c:pt idx="1204">
                  <c:v>6305.37</c:v>
                </c:pt>
                <c:pt idx="1205">
                  <c:v>6433.32</c:v>
                </c:pt>
                <c:pt idx="1206">
                  <c:v>6435.59</c:v>
                </c:pt>
                <c:pt idx="1207">
                  <c:v>6596.63</c:v>
                </c:pt>
                <c:pt idx="1208">
                  <c:v>6306.58</c:v>
                </c:pt>
                <c:pt idx="1209">
                  <c:v>6607.85</c:v>
                </c:pt>
                <c:pt idx="1210">
                  <c:v>6604.46</c:v>
                </c:pt>
                <c:pt idx="1211">
                  <c:v>6641.56</c:v>
                </c:pt>
                <c:pt idx="1212">
                  <c:v>6532.29</c:v>
                </c:pt>
                <c:pt idx="1213">
                  <c:v>6548.16</c:v>
                </c:pt>
              </c:numCache>
            </c:numRef>
          </c:val>
          <c:smooth val="0"/>
          <c:extLst>
            <c:ext xmlns:c16="http://schemas.microsoft.com/office/drawing/2014/chart" uri="{C3380CC4-5D6E-409C-BE32-E72D297353CC}">
              <c16:uniqueId val="{00000000-E3D7-44BA-BCA6-51B223708757}"/>
            </c:ext>
          </c:extLst>
        </c:ser>
        <c:dLbls>
          <c:showLegendKey val="0"/>
          <c:showVal val="0"/>
          <c:showCatName val="0"/>
          <c:showSerName val="0"/>
          <c:showPercent val="0"/>
          <c:showBubbleSize val="0"/>
        </c:dLbls>
        <c:smooth val="0"/>
        <c:axId val="1733353152"/>
        <c:axId val="1733338272"/>
      </c:lineChart>
      <c:dateAx>
        <c:axId val="17333531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88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38272"/>
        <c:crossesAt val="2000"/>
        <c:auto val="1"/>
        <c:lblOffset val="100"/>
        <c:baseTimeUnit val="days"/>
      </c:dateAx>
      <c:valAx>
        <c:axId val="1733338272"/>
        <c:scaling>
          <c:orientation val="minMax"/>
          <c:max val="19000"/>
          <c:min val="500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53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2060"/>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FE06-48B6-A497-002EC70E78E7}"/>
              </c:ext>
            </c:extLst>
          </c:dPt>
          <c:dPt>
            <c:idx val="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FE06-48B6-A497-002EC70E78E7}"/>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1-FE06-48B6-A497-002EC70E78E7}"/>
              </c:ext>
            </c:extLst>
          </c:dPt>
          <c:dLbls>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FE06-48B6-A497-002EC70E78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Input!$P$24:$P$27</c:f>
              <c:strCache>
                <c:ptCount val="4"/>
                <c:pt idx="0">
                  <c:v>Promoters</c:v>
                </c:pt>
                <c:pt idx="1">
                  <c:v>FIIs</c:v>
                </c:pt>
                <c:pt idx="2">
                  <c:v>DIIs</c:v>
                </c:pt>
                <c:pt idx="3">
                  <c:v>Public &amp; Govt</c:v>
                </c:pt>
              </c:strCache>
            </c:strRef>
          </c:cat>
          <c:val>
            <c:numRef>
              <c:f>Input!$Q$24:$Q$27</c:f>
              <c:numCache>
                <c:formatCode>0.00%</c:formatCode>
                <c:ptCount val="4"/>
                <c:pt idx="0">
                  <c:v>0.58279999999999998</c:v>
                </c:pt>
                <c:pt idx="1">
                  <c:v>0.15759999999999999</c:v>
                </c:pt>
                <c:pt idx="2">
                  <c:v>0.22839999999999999</c:v>
                </c:pt>
                <c:pt idx="3">
                  <c:v>3.1199999999999999E-2</c:v>
                </c:pt>
              </c:numCache>
            </c:numRef>
          </c:val>
          <c:extLst>
            <c:ext xmlns:c16="http://schemas.microsoft.com/office/drawing/2014/chart" uri="{C3380CC4-5D6E-409C-BE32-E72D297353CC}">
              <c16:uniqueId val="{00000000-FE06-48B6-A497-002EC70E78E7}"/>
            </c:ext>
          </c:extLst>
        </c:ser>
        <c:dLbls>
          <c:dLblPos val="ctr"/>
          <c:showLegendKey val="0"/>
          <c:showVal val="1"/>
          <c:showCatName val="0"/>
          <c:showSerName val="0"/>
          <c:showPercent val="0"/>
          <c:showBubbleSize val="0"/>
        </c:dLbls>
        <c:gapWidth val="182"/>
        <c:axId val="1435123392"/>
        <c:axId val="1435123872"/>
      </c:barChart>
      <c:catAx>
        <c:axId val="1435123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123872"/>
        <c:crosses val="autoZero"/>
        <c:auto val="1"/>
        <c:lblAlgn val="ctr"/>
        <c:lblOffset val="100"/>
        <c:noMultiLvlLbl val="0"/>
      </c:catAx>
      <c:valAx>
        <c:axId val="143512387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1233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1485900</xdr:colOff>
      <xdr:row>3</xdr:row>
      <xdr:rowOff>832104</xdr:rowOff>
    </xdr:to>
    <xdr:pic>
      <xdr:nvPicPr>
        <xdr:cNvPr id="2" name="dimg_17TPacS3NZqrvr0PhsiLyAo_11" descr="Maruti Suzuki Logo, symbol, meaning ...">
          <a:extLst>
            <a:ext uri="{FF2B5EF4-FFF2-40B4-BE49-F238E27FC236}">
              <a16:creationId xmlns:a16="http://schemas.microsoft.com/office/drawing/2014/main" id="{7B2D1A7B-7812-4AA3-AEC1-DD67695FD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40" y="594360"/>
          <a:ext cx="1485900" cy="832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7</xdr:row>
      <xdr:rowOff>22860</xdr:rowOff>
    </xdr:from>
    <xdr:to>
      <xdr:col>10</xdr:col>
      <xdr:colOff>723900</xdr:colOff>
      <xdr:row>16</xdr:row>
      <xdr:rowOff>22861</xdr:rowOff>
    </xdr:to>
    <xdr:graphicFrame macro="">
      <xdr:nvGraphicFramePr>
        <xdr:cNvPr id="4" name="Chart 3">
          <a:extLst>
            <a:ext uri="{FF2B5EF4-FFF2-40B4-BE49-F238E27FC236}">
              <a16:creationId xmlns:a16="http://schemas.microsoft.com/office/drawing/2014/main" id="{F4B4ECB1-B0D1-490C-8D95-688AC8031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xdr:colOff>
      <xdr:row>19</xdr:row>
      <xdr:rowOff>15241</xdr:rowOff>
    </xdr:from>
    <xdr:to>
      <xdr:col>10</xdr:col>
      <xdr:colOff>807720</xdr:colOff>
      <xdr:row>27</xdr:row>
      <xdr:rowOff>0</xdr:rowOff>
    </xdr:to>
    <xdr:graphicFrame macro="">
      <xdr:nvGraphicFramePr>
        <xdr:cNvPr id="6" name="Chart 5">
          <a:extLst>
            <a:ext uri="{FF2B5EF4-FFF2-40B4-BE49-F238E27FC236}">
              <a16:creationId xmlns:a16="http://schemas.microsoft.com/office/drawing/2014/main" id="{8944BE64-5A77-47E8-A3CC-BC29D87F3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28</xdr:row>
      <xdr:rowOff>1</xdr:rowOff>
    </xdr:from>
    <xdr:to>
      <xdr:col>11</xdr:col>
      <xdr:colOff>45720</xdr:colOff>
      <xdr:row>37</xdr:row>
      <xdr:rowOff>53341</xdr:rowOff>
    </xdr:to>
    <xdr:graphicFrame macro="">
      <xdr:nvGraphicFramePr>
        <xdr:cNvPr id="7" name="Chart 6">
          <a:extLst>
            <a:ext uri="{FF2B5EF4-FFF2-40B4-BE49-F238E27FC236}">
              <a16:creationId xmlns:a16="http://schemas.microsoft.com/office/drawing/2014/main" id="{F15D8F7B-FECA-4550-B63E-299B21A06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565150</xdr:colOff>
      <xdr:row>10</xdr:row>
      <xdr:rowOff>69851</xdr:rowOff>
    </xdr:from>
    <xdr:to>
      <xdr:col>12</xdr:col>
      <xdr:colOff>400050</xdr:colOff>
      <xdr:row>18</xdr:row>
      <xdr:rowOff>127000</xdr:rowOff>
    </xdr:to>
    <xdr:graphicFrame macro="">
      <xdr:nvGraphicFramePr>
        <xdr:cNvPr id="5" name="Chart 4">
          <a:extLst>
            <a:ext uri="{FF2B5EF4-FFF2-40B4-BE49-F238E27FC236}">
              <a16:creationId xmlns:a16="http://schemas.microsoft.com/office/drawing/2014/main" id="{E96207F4-2AC0-4191-A9A5-2286F43F8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0</xdr:rowOff>
    </xdr:from>
    <xdr:to>
      <xdr:col>1</xdr:col>
      <xdr:colOff>4527663</xdr:colOff>
      <xdr:row>28</xdr:row>
      <xdr:rowOff>1</xdr:rowOff>
    </xdr:to>
    <xdr:graphicFrame macro="">
      <xdr:nvGraphicFramePr>
        <xdr:cNvPr id="6" name="Chart 5">
          <a:extLst>
            <a:ext uri="{FF2B5EF4-FFF2-40B4-BE49-F238E27FC236}">
              <a16:creationId xmlns:a16="http://schemas.microsoft.com/office/drawing/2014/main" id="{33D3E068-7D58-47A1-B3B2-A36697839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465221</xdr:colOff>
      <xdr:row>22</xdr:row>
      <xdr:rowOff>36096</xdr:rowOff>
    </xdr:from>
    <xdr:to>
      <xdr:col>23</xdr:col>
      <xdr:colOff>152400</xdr:colOff>
      <xdr:row>34</xdr:row>
      <xdr:rowOff>80211</xdr:rowOff>
    </xdr:to>
    <xdr:graphicFrame macro="">
      <xdr:nvGraphicFramePr>
        <xdr:cNvPr id="7" name="Chart 6">
          <a:extLst>
            <a:ext uri="{FF2B5EF4-FFF2-40B4-BE49-F238E27FC236}">
              <a16:creationId xmlns:a16="http://schemas.microsoft.com/office/drawing/2014/main" id="{1A622E7C-E727-E2AA-3CBB-100F66075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E030683-C84B-463B-8161-9FE517F05EB8}">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1019-0EA5-4B59-A441-9511E54418E3}">
  <sheetPr>
    <pageSetUpPr fitToPage="1"/>
  </sheetPr>
  <dimension ref="B2:AO64"/>
  <sheetViews>
    <sheetView showGridLines="0" tabSelected="1" topLeftCell="B6" zoomScaleNormal="100" workbookViewId="0">
      <selection activeCell="B1" sqref="B1:L61"/>
    </sheetView>
  </sheetViews>
  <sheetFormatPr defaultRowHeight="14.4" x14ac:dyDescent="0.3"/>
  <cols>
    <col min="1" max="1" width="1.88671875" customWidth="1"/>
    <col min="2" max="2" width="27.21875" customWidth="1"/>
    <col min="3" max="3" width="13.77734375" customWidth="1"/>
    <col min="4" max="4" width="8.6640625" customWidth="1"/>
    <col min="5" max="5" width="11.88671875" customWidth="1"/>
    <col min="6" max="6" width="10.6640625" customWidth="1"/>
    <col min="7" max="7" width="11.33203125" customWidth="1"/>
    <col min="8" max="8" width="1" style="38" customWidth="1"/>
    <col min="9" max="9" width="12.21875" customWidth="1"/>
    <col min="10" max="10" width="12.33203125" customWidth="1"/>
    <col min="11" max="11" width="12.21875" customWidth="1"/>
    <col min="12" max="12" width="1.21875" customWidth="1"/>
    <col min="13" max="41" width="8.88671875" style="38"/>
  </cols>
  <sheetData>
    <row r="2" spans="2:11" ht="18" x14ac:dyDescent="0.35">
      <c r="B2" s="68" t="str">
        <f>'Profit &amp; Loss'!A1&amp;" - One Page Profile"</f>
        <v>MARUTI SUZUKI INDIA LTD - One Page Profile</v>
      </c>
      <c r="C2" s="68"/>
      <c r="D2" s="68"/>
      <c r="E2" s="68"/>
      <c r="F2" s="68"/>
      <c r="G2" s="68"/>
      <c r="H2" s="68"/>
      <c r="I2" s="68"/>
      <c r="J2" s="68"/>
      <c r="K2" s="68"/>
    </row>
    <row r="3" spans="2:11" ht="4.2" customHeight="1" x14ac:dyDescent="0.3"/>
    <row r="4" spans="2:11" ht="81" customHeight="1" x14ac:dyDescent="0.3">
      <c r="B4" s="26"/>
      <c r="C4" s="69" t="str">
        <f>Input!B6</f>
        <v>Maruti Suzuki India Limited is the Indian subsidiary of Japanese automaker Suzuki Motor Corporation. It is the largest automobile manufacturer in India, specialising in small cars. The company was established by the Government of India as Maruti Udyog Limited in February 1981 as a joint venture with Suzuki, the latter becoming the first Japanese automaker, as well as the first major foreign automaker, to invest in India</v>
      </c>
      <c r="D4" s="69"/>
      <c r="E4" s="69"/>
      <c r="F4" s="69"/>
      <c r="G4" s="69"/>
      <c r="H4" s="69"/>
      <c r="I4" s="69"/>
      <c r="J4" s="69"/>
      <c r="K4" s="69"/>
    </row>
    <row r="5" spans="2:11" x14ac:dyDescent="0.3">
      <c r="B5" s="78" t="s">
        <v>198</v>
      </c>
    </row>
    <row r="6" spans="2:11" ht="15.6" x14ac:dyDescent="0.3">
      <c r="B6" s="27" t="s">
        <v>195</v>
      </c>
      <c r="C6" s="39">
        <f>'Profit &amp; Loss'!G3</f>
        <v>44286</v>
      </c>
      <c r="D6" s="39">
        <f>'Profit &amp; Loss'!H3</f>
        <v>44651</v>
      </c>
      <c r="E6" s="39">
        <f>'Profit &amp; Loss'!I3</f>
        <v>45016</v>
      </c>
      <c r="F6" s="39">
        <f>'Profit &amp; Loss'!J3</f>
        <v>45382</v>
      </c>
      <c r="G6" s="39">
        <f>'Profit &amp; Loss'!K3</f>
        <v>45747</v>
      </c>
      <c r="I6" s="70" t="s">
        <v>114</v>
      </c>
      <c r="J6" s="70"/>
      <c r="K6" s="70"/>
    </row>
    <row r="7" spans="2:11" ht="3" customHeight="1" x14ac:dyDescent="0.3"/>
    <row r="8" spans="2:11" x14ac:dyDescent="0.3">
      <c r="B8" s="42" t="s">
        <v>94</v>
      </c>
      <c r="C8" s="42">
        <f>'Profit &amp; Loss'!G4</f>
        <v>70372</v>
      </c>
      <c r="D8" s="42">
        <f>'Profit &amp; Loss'!H4</f>
        <v>88329.8</v>
      </c>
      <c r="E8" s="42">
        <f>'Profit &amp; Loss'!I4</f>
        <v>117571.3</v>
      </c>
      <c r="F8" s="42">
        <f>'Profit &amp; Loss'!J4</f>
        <v>141858.20000000001</v>
      </c>
      <c r="G8" s="42">
        <f>'Profit &amp; Loss'!K4</f>
        <v>152913</v>
      </c>
    </row>
    <row r="9" spans="2:11" x14ac:dyDescent="0.3">
      <c r="B9" s="43" t="s">
        <v>95</v>
      </c>
      <c r="C9" s="44">
        <f>'Profit &amp; Loss'!G28</f>
        <v>-6.9891620407084298E-2</v>
      </c>
      <c r="D9" s="44">
        <f>'Profit &amp; Loss'!H28</f>
        <v>0.25518387995225389</v>
      </c>
      <c r="E9" s="44">
        <f>'Profit &amp; Loss'!I28</f>
        <v>0.3310490910202446</v>
      </c>
      <c r="F9" s="44">
        <f>'Profit &amp; Loss'!J28</f>
        <v>0.20657167182807368</v>
      </c>
      <c r="G9" s="44">
        <f>'Profit &amp; Loss'!K28</f>
        <v>7.7928522989858751E-2</v>
      </c>
    </row>
    <row r="10" spans="2:11" x14ac:dyDescent="0.3">
      <c r="B10" s="42" t="s">
        <v>98</v>
      </c>
      <c r="C10" s="45">
        <f>'Profit &amp; Loss'!G30</f>
        <v>0.26907292673222299</v>
      </c>
      <c r="D10" s="45">
        <f>'Profit &amp; Loss'!H30</f>
        <v>0.23340027940740268</v>
      </c>
      <c r="E10" s="45">
        <f>'Profit &amp; Loss'!I30</f>
        <v>0.24327365607082693</v>
      </c>
      <c r="F10" s="45">
        <f>'Profit &amp; Loss'!J30</f>
        <v>0.27765331859561171</v>
      </c>
      <c r="G10" s="45">
        <f>'Profit &amp; Loss'!K30</f>
        <v>0.26106478847449199</v>
      </c>
    </row>
    <row r="11" spans="2:11" x14ac:dyDescent="0.3">
      <c r="B11" s="42" t="s">
        <v>99</v>
      </c>
      <c r="C11" s="45">
        <f>'Profit &amp; Loss'!G31</f>
        <v>7.6885693173421227E-2</v>
      </c>
      <c r="D11" s="45">
        <f>'Profit &amp; Loss'!H31</f>
        <v>6.5119585915512257E-2</v>
      </c>
      <c r="E11" s="45">
        <f>'Profit &amp; Loss'!I31</f>
        <v>9.3808608053155801E-2</v>
      </c>
      <c r="F11" s="45">
        <f>'Profit &amp; Loss'!J31</f>
        <v>0.13130224407189717</v>
      </c>
      <c r="G11" s="45">
        <f>'Profit &amp; Loss'!K31</f>
        <v>0.13225559631947581</v>
      </c>
    </row>
    <row r="12" spans="2:11" x14ac:dyDescent="0.3">
      <c r="B12" s="42" t="s">
        <v>100</v>
      </c>
      <c r="C12" s="45">
        <f>'Profit &amp; Loss'!G32</f>
        <v>3.3770533735008219E-2</v>
      </c>
      <c r="D12" s="45">
        <f>'Profit &amp; Loss'!H32</f>
        <v>3.3544738015935896E-2</v>
      </c>
      <c r="E12" s="45">
        <f>'Profit &amp; Loss'!I32</f>
        <v>6.9774681406091416E-2</v>
      </c>
      <c r="F12" s="45">
        <f>'Profit &amp; Loss'!J32</f>
        <v>9.4252570524650692E-2</v>
      </c>
      <c r="G12" s="45">
        <f>'Profit &amp; Loss'!K32</f>
        <v>9.5579839516587897E-2</v>
      </c>
    </row>
    <row r="13" spans="2:11" x14ac:dyDescent="0.3">
      <c r="B13" s="42" t="s">
        <v>104</v>
      </c>
      <c r="C13" s="45">
        <f>'Profit &amp; Loss'!G33</f>
        <v>6.2369976695276538E-2</v>
      </c>
      <c r="D13" s="45">
        <f>'Profit &amp; Loss'!H33</f>
        <v>4.3920624749518279E-2</v>
      </c>
      <c r="E13" s="45">
        <f>'Profit &amp; Loss'!I33</f>
        <v>6.9838472484356304E-2</v>
      </c>
      <c r="F13" s="45">
        <f>'Profit &amp; Loss'!J33</f>
        <v>9.508227229726586E-2</v>
      </c>
      <c r="G13" s="45">
        <f>'Profit &amp; Loss'!K33</f>
        <v>9.4826469953502981E-2</v>
      </c>
    </row>
    <row r="14" spans="2:11" x14ac:dyDescent="0.3">
      <c r="B14" s="42" t="s">
        <v>105</v>
      </c>
      <c r="C14" s="46">
        <f>'Profit &amp; Loss'!G13</f>
        <v>145.28632903012249</v>
      </c>
      <c r="D14" s="46">
        <f>'Profit &amp; Loss'!H13</f>
        <v>128.41774246938098</v>
      </c>
      <c r="E14" s="46">
        <f>'Profit &amp; Loss'!I13</f>
        <v>271.79741807348557</v>
      </c>
      <c r="F14" s="46">
        <f>'Profit &amp; Loss'!J13</f>
        <v>429.01399491094151</v>
      </c>
      <c r="G14" s="46">
        <f>'Profit &amp; Loss'!K13</f>
        <v>461.20229007633588</v>
      </c>
    </row>
    <row r="15" spans="2:11" x14ac:dyDescent="0.3">
      <c r="B15" s="43" t="s">
        <v>106</v>
      </c>
      <c r="C15" s="44">
        <f>'Profit &amp; Loss'!G34</f>
        <v>-0.22672656800563773</v>
      </c>
      <c r="D15" s="44">
        <f>'Profit &amp; Loss'!H34</f>
        <v>-0.11610580756875</v>
      </c>
      <c r="E15" s="44">
        <f>'Profit &amp; Loss'!I34</f>
        <v>1.1165098595179792</v>
      </c>
      <c r="F15" s="44">
        <f>'Profit &amp; Loss'!J34</f>
        <v>0.57843292976002236</v>
      </c>
      <c r="G15" s="44">
        <f>'Profit &amp; Loss'!K34</f>
        <v>7.5028543467623443E-2</v>
      </c>
    </row>
    <row r="16" spans="2:11" x14ac:dyDescent="0.3">
      <c r="B16" s="42" t="s">
        <v>108</v>
      </c>
      <c r="C16" s="47">
        <f>'Profit &amp; Loss'!G35</f>
        <v>44.985104270109233</v>
      </c>
      <c r="D16" s="47">
        <f>'Profit &amp; Loss'!H35</f>
        <v>59.980139026812303</v>
      </c>
      <c r="E16" s="47">
        <f>'Profit &amp; Loss'!I35</f>
        <v>89.970208540218465</v>
      </c>
      <c r="F16" s="47">
        <f>'Profit &amp; Loss'!J35</f>
        <v>125.00000000000001</v>
      </c>
      <c r="G16" s="47">
        <f>'Profit &amp; Loss'!K35</f>
        <v>134.99999999999997</v>
      </c>
    </row>
    <row r="17" spans="2:11" x14ac:dyDescent="0.3">
      <c r="B17" s="43" t="s">
        <v>110</v>
      </c>
      <c r="C17" s="44">
        <f>'Profit &amp; Loss'!G36</f>
        <v>-0.25</v>
      </c>
      <c r="D17" s="44">
        <f>'Profit &amp; Loss'!H36</f>
        <v>0.33333333333333326</v>
      </c>
      <c r="E17" s="44">
        <f>'Profit &amp; Loss'!I36</f>
        <v>0.50000000000000022</v>
      </c>
      <c r="F17" s="44">
        <f>'Profit &amp; Loss'!J36</f>
        <v>0.38934878587196486</v>
      </c>
      <c r="G17" s="44">
        <f>'Profit &amp; Loss'!K36</f>
        <v>7.9999999999999627E-2</v>
      </c>
    </row>
    <row r="19" spans="2:11" ht="15.6" x14ac:dyDescent="0.3">
      <c r="B19" s="27" t="s">
        <v>123</v>
      </c>
      <c r="C19" s="39">
        <f>C6</f>
        <v>44286</v>
      </c>
      <c r="D19" s="39">
        <f t="shared" ref="D19:G19" si="0">D6</f>
        <v>44651</v>
      </c>
      <c r="E19" s="39">
        <f t="shared" si="0"/>
        <v>45016</v>
      </c>
      <c r="F19" s="39">
        <f t="shared" si="0"/>
        <v>45382</v>
      </c>
      <c r="G19" s="39">
        <f t="shared" si="0"/>
        <v>45747</v>
      </c>
      <c r="I19" s="70" t="s">
        <v>127</v>
      </c>
      <c r="J19" s="70"/>
      <c r="K19" s="70"/>
    </row>
    <row r="20" spans="2:11" ht="3.6" customHeight="1" x14ac:dyDescent="0.3"/>
    <row r="21" spans="2:11" x14ac:dyDescent="0.3">
      <c r="B21" s="42" t="s">
        <v>124</v>
      </c>
      <c r="C21" s="48">
        <f>'Profit &amp; Loss'!G14</f>
        <v>47.211599644574051</v>
      </c>
      <c r="D21" s="48">
        <f>'Profit &amp; Loss'!H14</f>
        <v>58.88049310478155</v>
      </c>
      <c r="E21" s="48">
        <f>'Profit &amp; Loss'!I14</f>
        <v>30.508567957617831</v>
      </c>
      <c r="F21" s="48">
        <f>'Profit &amp; Loss'!J14</f>
        <v>29.370487092421524</v>
      </c>
      <c r="G21" s="48">
        <f>'Profit &amp; Loss'!K14</f>
        <v>24.982855133032647</v>
      </c>
    </row>
    <row r="22" spans="2:11" x14ac:dyDescent="0.3">
      <c r="B22" s="42" t="s">
        <v>119</v>
      </c>
      <c r="C22" s="48">
        <f>'Profit &amp; Loss'!G42</f>
        <v>37.835033452851818</v>
      </c>
      <c r="D22" s="48">
        <f>'Profit &amp; Loss'!H42</f>
        <v>39.257679589707827</v>
      </c>
      <c r="E22" s="48">
        <f>'Profit &amp; Loss'!I42</f>
        <v>22.822285523882062</v>
      </c>
      <c r="F22" s="48">
        <f>'Profit &amp; Loss'!J42</f>
        <v>21.123154034886152</v>
      </c>
      <c r="G22" s="48">
        <f>'Profit &amp; Loss'!K42</f>
        <v>17.889519966771488</v>
      </c>
    </row>
    <row r="23" spans="2:11" x14ac:dyDescent="0.3">
      <c r="B23" s="42" t="s">
        <v>120</v>
      </c>
      <c r="C23" s="48">
        <f>'Profit &amp; Loss'!G43</f>
        <v>2.9089727732620929</v>
      </c>
      <c r="D23" s="48">
        <f>'Profit &amp; Loss'!H43</f>
        <v>2.556443838885631</v>
      </c>
      <c r="E23" s="48">
        <f>'Profit &amp; Loss'!I43</f>
        <v>2.140926837587064</v>
      </c>
      <c r="F23" s="48">
        <f>'Profit &amp; Loss'!J43</f>
        <v>2.7735175266569008</v>
      </c>
      <c r="G23" s="48">
        <f>'Profit &amp; Loss'!K43</f>
        <v>2.3659891310745325</v>
      </c>
    </row>
    <row r="24" spans="2:11" x14ac:dyDescent="0.3">
      <c r="B24" s="42" t="s">
        <v>196</v>
      </c>
      <c r="C24" s="48">
        <f>'Profit &amp; Loss'!G44</f>
        <v>3.9469345493194363</v>
      </c>
      <c r="D24" s="48">
        <f>'Profit &amp; Loss'!H44</f>
        <v>4.1281840657106459</v>
      </c>
      <c r="E24" s="48">
        <f>'Profit &amp; Loss'!I44</f>
        <v>4.0540634603900543</v>
      </c>
      <c r="F24" s="48">
        <f>'Profit &amp; Loss'!J44</f>
        <v>4.6260334905880702</v>
      </c>
      <c r="G24" s="48">
        <f>'Profit &amp; Loss'!K44</f>
        <v>3.7640978014316309</v>
      </c>
    </row>
    <row r="25" spans="2:11" x14ac:dyDescent="0.3">
      <c r="B25" s="42" t="s">
        <v>125</v>
      </c>
      <c r="C25" s="45">
        <f>'Balance Sheet'!G23</f>
        <v>8.3600949322483936E-2</v>
      </c>
      <c r="D25" s="45">
        <f>'Balance Sheet'!H23</f>
        <v>7.011123460471505E-2</v>
      </c>
      <c r="E25" s="45">
        <f>'Balance Sheet'!I23</f>
        <v>0.13288278446965834</v>
      </c>
      <c r="F25" s="45">
        <f>'Balance Sheet'!J23</f>
        <v>0.15750618898594049</v>
      </c>
      <c r="G25" s="45">
        <f>'Balance Sheet'!K23</f>
        <v>0.15066723884792069</v>
      </c>
    </row>
    <row r="26" spans="2:11" x14ac:dyDescent="0.3">
      <c r="B26" s="42" t="s">
        <v>126</v>
      </c>
      <c r="C26" s="45">
        <f>'Balance Sheet'!G24</f>
        <v>0.10566784815849009</v>
      </c>
      <c r="D26" s="45">
        <f>'Balance Sheet'!H24</f>
        <v>8.8672386615870333E-2</v>
      </c>
      <c r="E26" s="45">
        <f>'Balance Sheet'!I24</f>
        <v>0.17694128500912476</v>
      </c>
      <c r="F26" s="45">
        <f>'Balance Sheet'!J24</f>
        <v>0.23681324146533575</v>
      </c>
      <c r="G26" s="45">
        <f>'Balance Sheet'!K24</f>
        <v>0.21764100141969395</v>
      </c>
    </row>
    <row r="28" spans="2:11" ht="15.6" x14ac:dyDescent="0.3">
      <c r="B28" s="27" t="s">
        <v>129</v>
      </c>
      <c r="C28" s="70" t="str">
        <f>Input!X9</f>
        <v>N. Shares (in Crs)</v>
      </c>
      <c r="D28" s="70"/>
      <c r="E28" s="34" t="str">
        <f>Input!Y9</f>
        <v xml:space="preserve"> (%) holding</v>
      </c>
      <c r="F28" s="70" t="str">
        <f>Input!Z9</f>
        <v>Market Value (in Crs.)</v>
      </c>
      <c r="G28" s="70"/>
      <c r="I28" s="70" t="s">
        <v>146</v>
      </c>
      <c r="J28" s="70"/>
      <c r="K28" s="70"/>
    </row>
    <row r="29" spans="2:11" x14ac:dyDescent="0.3">
      <c r="B29" s="42" t="str">
        <f>Input!W10</f>
        <v>Suzuki Motor Corporation</v>
      </c>
      <c r="C29" s="71">
        <f>Input!X10</f>
        <v>1832.4647600000001</v>
      </c>
      <c r="D29" s="71"/>
      <c r="E29" s="49">
        <f>Input!Y10</f>
        <v>0.58279999999999998</v>
      </c>
      <c r="F29" s="71">
        <f>Input!Z10</f>
        <v>23145862.383560002</v>
      </c>
      <c r="G29" s="71"/>
    </row>
    <row r="30" spans="2:11" x14ac:dyDescent="0.3">
      <c r="B30" s="42" t="str">
        <f>Input!W11</f>
        <v>LICI ULIP-Growth Fund</v>
      </c>
      <c r="C30" s="71">
        <f>Input!X11</f>
        <v>135.17739</v>
      </c>
      <c r="D30" s="71"/>
      <c r="E30" s="49">
        <f>Input!Y11</f>
        <v>4.2999999999999997E-2</v>
      </c>
      <c r="F30" s="71">
        <f>Input!Z11</f>
        <v>1707425.6130900001</v>
      </c>
      <c r="G30" s="71"/>
    </row>
    <row r="31" spans="2:11" x14ac:dyDescent="0.3">
      <c r="B31" s="42" t="str">
        <f>Input!W12</f>
        <v>ICICI N50 Equal Weight Index Fund</v>
      </c>
      <c r="C31" s="71">
        <f>Input!X12</f>
        <v>99.487210000000005</v>
      </c>
      <c r="D31" s="71"/>
      <c r="E31" s="49">
        <f>Input!Y12</f>
        <v>3.1600000000000003E-2</v>
      </c>
      <c r="F31" s="71">
        <f>Input!Z12</f>
        <v>1256622.9495099999</v>
      </c>
      <c r="G31" s="71"/>
    </row>
    <row r="32" spans="2:11" x14ac:dyDescent="0.3">
      <c r="B32" s="42" t="str">
        <f>Input!W13</f>
        <v>SBI ESG Exclusionary Strategy Fund</v>
      </c>
      <c r="C32" s="71">
        <f>Input!X13</f>
        <v>72.031030000000001</v>
      </c>
      <c r="D32" s="71"/>
      <c r="E32" s="49">
        <f>Input!Y13</f>
        <v>2.29E-2</v>
      </c>
      <c r="F32" s="71">
        <f>Input!Z13</f>
        <v>909823.93992999999</v>
      </c>
      <c r="G32" s="71"/>
    </row>
    <row r="33" spans="2:11" x14ac:dyDescent="0.3">
      <c r="B33" s="42" t="str">
        <f>Input!W14</f>
        <v>HDFC Trustee Company Ltd-Flexi Fund</v>
      </c>
      <c r="C33" s="71">
        <f>Input!X14</f>
        <v>67.578209999999999</v>
      </c>
      <c r="D33" s="71"/>
      <c r="E33" s="49">
        <f>Input!Y14</f>
        <v>2.1499999999999998E-2</v>
      </c>
      <c r="F33" s="71">
        <f>Input!Z14</f>
        <v>853580.37051000004</v>
      </c>
      <c r="G33" s="71"/>
      <c r="H33"/>
    </row>
    <row r="34" spans="2:11" x14ac:dyDescent="0.3">
      <c r="B34" s="42" t="str">
        <f>Input!W15</f>
        <v>NPS UTI Pension Fund Ltd-Scheme Cent</v>
      </c>
      <c r="C34" s="71">
        <f>Input!X15</f>
        <v>43.684269999999998</v>
      </c>
      <c r="D34" s="71"/>
      <c r="E34" s="49">
        <f>Input!Y15</f>
        <v>1.3899999999999999E-2</v>
      </c>
      <c r="F34" s="71">
        <f>Input!Z15</f>
        <v>551776.01436999999</v>
      </c>
      <c r="G34" s="71"/>
    </row>
    <row r="35" spans="2:11" x14ac:dyDescent="0.3">
      <c r="B35" s="42" t="str">
        <f>Input!W16</f>
        <v>Kotak Balanced Advantage Fund</v>
      </c>
      <c r="C35" s="71">
        <f>Input!X16</f>
        <v>38.748289999999997</v>
      </c>
      <c r="D35" s="71"/>
      <c r="E35" s="49">
        <f>Input!Y16</f>
        <v>1.23E-2</v>
      </c>
      <c r="F35" s="71">
        <f>Input!Z16</f>
        <v>489429.65098999994</v>
      </c>
      <c r="G35" s="71"/>
    </row>
    <row r="36" spans="2:11" x14ac:dyDescent="0.3">
      <c r="B36" s="42" t="str">
        <f>Input!W17</f>
        <v>UTI Manufacturing Index Fund</v>
      </c>
      <c r="C36" s="71">
        <f>Input!X17</f>
        <v>36.438270000000003</v>
      </c>
      <c r="D36" s="71"/>
      <c r="E36" s="49">
        <f>Input!Y17</f>
        <v>1.1599999999999999E-2</v>
      </c>
      <c r="F36" s="71">
        <f>Input!Z17</f>
        <v>460251.78837000002</v>
      </c>
      <c r="G36" s="71"/>
    </row>
    <row r="37" spans="2:11" x14ac:dyDescent="0.3">
      <c r="B37" s="42" t="str">
        <f>Input!W18</f>
        <v xml:space="preserve">Nippon India Large Cap Fund                                         </v>
      </c>
      <c r="C37" s="71">
        <f>Input!X18</f>
        <v>30.25</v>
      </c>
      <c r="D37" s="71"/>
      <c r="E37" s="49">
        <f>Input!Y18</f>
        <v>9.5999999999999992E-3</v>
      </c>
      <c r="F37" s="71">
        <f>Input!Z18</f>
        <v>382087.75</v>
      </c>
      <c r="G37" s="71"/>
    </row>
    <row r="38" spans="2:11" x14ac:dyDescent="0.3">
      <c r="B38" s="42" t="str">
        <f>Input!W19</f>
        <v xml:space="preserve">Axis Bluechip Fund </v>
      </c>
      <c r="C38" s="71">
        <f>Input!X19</f>
        <v>28.1</v>
      </c>
      <c r="D38" s="71"/>
      <c r="E38" s="49">
        <f>Input!Y19</f>
        <v>8.8999999999999999E-3</v>
      </c>
      <c r="F38" s="71">
        <f>Input!Z19</f>
        <v>354931.10000000003</v>
      </c>
      <c r="G38" s="71"/>
    </row>
    <row r="39" spans="2:11" ht="10.8" customHeight="1" x14ac:dyDescent="0.3">
      <c r="B39" s="42"/>
      <c r="C39" s="71"/>
      <c r="D39" s="71"/>
      <c r="E39" s="49"/>
      <c r="F39" s="71"/>
      <c r="G39" s="71"/>
    </row>
    <row r="40" spans="2:11" ht="15.6" x14ac:dyDescent="0.3">
      <c r="B40" s="52" t="s">
        <v>160</v>
      </c>
      <c r="C40" s="72" t="s">
        <v>161</v>
      </c>
      <c r="D40" s="72"/>
      <c r="E40" s="52" t="s">
        <v>162</v>
      </c>
      <c r="F40" s="72" t="s">
        <v>163</v>
      </c>
      <c r="G40" s="73"/>
      <c r="I40" s="70" t="s">
        <v>147</v>
      </c>
      <c r="J40" s="70"/>
      <c r="K40" s="70"/>
    </row>
    <row r="41" spans="2:11" x14ac:dyDescent="0.3">
      <c r="C41" s="66"/>
      <c r="D41" s="66"/>
      <c r="F41" s="66"/>
      <c r="G41" s="66"/>
    </row>
    <row r="42" spans="2:11" x14ac:dyDescent="0.3">
      <c r="B42" s="42" t="s">
        <v>167</v>
      </c>
      <c r="C42" s="74" t="s">
        <v>164</v>
      </c>
      <c r="D42" s="74"/>
      <c r="E42" s="53">
        <v>56901817</v>
      </c>
      <c r="F42" s="75">
        <v>32.86</v>
      </c>
      <c r="G42" s="75"/>
      <c r="I42" s="42" t="s">
        <v>148</v>
      </c>
      <c r="J42" s="42"/>
      <c r="K42" s="54">
        <f>'Data Sheet'!B8</f>
        <v>12631</v>
      </c>
    </row>
    <row r="43" spans="2:11" x14ac:dyDescent="0.3">
      <c r="B43" s="42" t="s">
        <v>168</v>
      </c>
      <c r="C43" s="74" t="s">
        <v>165</v>
      </c>
      <c r="D43" s="74"/>
      <c r="E43" s="53">
        <v>42199600</v>
      </c>
      <c r="F43" s="75">
        <v>24.37</v>
      </c>
      <c r="G43" s="75"/>
      <c r="I43" s="59" t="s">
        <v>149</v>
      </c>
      <c r="J43" s="59"/>
      <c r="K43" s="60">
        <f>'Data Sheet'!B6</f>
        <v>31.440257303459742</v>
      </c>
    </row>
    <row r="44" spans="2:11" ht="15" thickBot="1" x14ac:dyDescent="0.35">
      <c r="B44" s="42" t="s">
        <v>169</v>
      </c>
      <c r="C44" s="74" t="s">
        <v>166</v>
      </c>
      <c r="D44" s="74"/>
      <c r="E44" s="53">
        <v>42199600</v>
      </c>
      <c r="F44" s="75">
        <v>24.37</v>
      </c>
      <c r="G44" s="75"/>
      <c r="I44" s="64" t="s">
        <v>79</v>
      </c>
      <c r="J44" s="57"/>
      <c r="K44" s="58">
        <f>K42*K43</f>
        <v>397121.89</v>
      </c>
    </row>
    <row r="45" spans="2:11" x14ac:dyDescent="0.3">
      <c r="C45" s="66"/>
      <c r="D45" s="66"/>
      <c r="F45" s="66"/>
      <c r="G45" s="66"/>
      <c r="I45" s="61" t="s">
        <v>150</v>
      </c>
      <c r="J45" s="62"/>
      <c r="K45" s="63">
        <f>'Data Sheet'!K69*-1</f>
        <v>-552.9</v>
      </c>
    </row>
    <row r="46" spans="2:11" x14ac:dyDescent="0.3">
      <c r="C46" s="66"/>
      <c r="D46" s="66"/>
      <c r="F46" s="66"/>
      <c r="G46" s="66"/>
      <c r="I46" s="55" t="s">
        <v>151</v>
      </c>
      <c r="J46" s="42"/>
      <c r="K46" s="54">
        <f>'Balance Sheet'!K6</f>
        <v>87</v>
      </c>
    </row>
    <row r="47" spans="2:11" x14ac:dyDescent="0.3">
      <c r="I47" s="41" t="s">
        <v>152</v>
      </c>
      <c r="K47" s="35">
        <v>0</v>
      </c>
    </row>
    <row r="48" spans="2:11" ht="15" thickBot="1" x14ac:dyDescent="0.35">
      <c r="I48" s="56" t="s">
        <v>153</v>
      </c>
      <c r="J48" s="57"/>
      <c r="K48" s="58">
        <f>SUM(K44:K47)</f>
        <v>396655.99</v>
      </c>
    </row>
    <row r="49" spans="2:11" x14ac:dyDescent="0.3">
      <c r="I49" s="41"/>
    </row>
    <row r="50" spans="2:11" x14ac:dyDescent="0.3">
      <c r="B50" s="52" t="s">
        <v>197</v>
      </c>
      <c r="C50" s="51"/>
      <c r="D50" s="51"/>
      <c r="E50" s="51"/>
      <c r="F50" s="51"/>
      <c r="G50" s="51"/>
      <c r="H50" s="50"/>
      <c r="I50" s="65"/>
      <c r="J50" s="50"/>
      <c r="K50" s="50"/>
    </row>
    <row r="51" spans="2:11" ht="3" customHeight="1" x14ac:dyDescent="0.3">
      <c r="B51" s="66"/>
      <c r="C51" s="66"/>
      <c r="D51" s="66"/>
      <c r="E51" s="66"/>
      <c r="F51" s="66"/>
      <c r="G51" s="66"/>
      <c r="H51" s="66"/>
      <c r="I51" s="66"/>
      <c r="J51" s="66"/>
      <c r="K51" s="66"/>
    </row>
    <row r="52" spans="2:11" x14ac:dyDescent="0.3">
      <c r="B52" s="67" t="s">
        <v>184</v>
      </c>
      <c r="C52" s="67"/>
      <c r="D52" s="67"/>
      <c r="E52" s="67"/>
      <c r="F52" s="67"/>
      <c r="G52" s="67"/>
      <c r="H52" s="67"/>
      <c r="I52" s="67"/>
      <c r="J52" s="67"/>
      <c r="K52" s="67"/>
    </row>
    <row r="53" spans="2:11" x14ac:dyDescent="0.3">
      <c r="B53" s="67" t="s">
        <v>189</v>
      </c>
      <c r="C53" s="67"/>
      <c r="D53" s="67"/>
      <c r="E53" s="67"/>
      <c r="F53" s="67"/>
      <c r="G53" s="67"/>
      <c r="H53" s="67"/>
      <c r="I53" s="67"/>
      <c r="J53" s="67"/>
      <c r="K53" s="67"/>
    </row>
    <row r="54" spans="2:11" x14ac:dyDescent="0.3">
      <c r="B54" s="67" t="s">
        <v>186</v>
      </c>
      <c r="C54" s="67"/>
      <c r="D54" s="67"/>
      <c r="E54" s="67"/>
      <c r="F54" s="67"/>
      <c r="G54" s="67"/>
      <c r="H54" s="67"/>
      <c r="I54" s="67"/>
      <c r="J54" s="67"/>
      <c r="K54" s="67"/>
    </row>
    <row r="55" spans="2:11" x14ac:dyDescent="0.3">
      <c r="B55" s="67" t="s">
        <v>187</v>
      </c>
      <c r="C55" s="67"/>
      <c r="D55" s="67"/>
      <c r="E55" s="67"/>
      <c r="F55" s="67"/>
      <c r="G55" s="67"/>
      <c r="H55" s="67"/>
      <c r="I55" s="67"/>
      <c r="J55" s="67"/>
      <c r="K55" s="67"/>
    </row>
    <row r="56" spans="2:11" x14ac:dyDescent="0.3">
      <c r="B56" s="67" t="s">
        <v>188</v>
      </c>
      <c r="C56" s="67"/>
      <c r="D56" s="67"/>
      <c r="E56" s="67"/>
      <c r="F56" s="67"/>
      <c r="G56" s="67"/>
      <c r="H56" s="67"/>
      <c r="I56" s="67"/>
      <c r="J56" s="67"/>
      <c r="K56" s="67"/>
    </row>
    <row r="57" spans="2:11" x14ac:dyDescent="0.3">
      <c r="B57" s="67" t="s">
        <v>190</v>
      </c>
      <c r="C57" s="67"/>
      <c r="D57" s="67"/>
      <c r="E57" s="67"/>
      <c r="F57" s="67"/>
      <c r="G57" s="67"/>
      <c r="H57" s="67"/>
      <c r="I57" s="67"/>
      <c r="J57" s="67"/>
      <c r="K57" s="67"/>
    </row>
    <row r="58" spans="2:11" x14ac:dyDescent="0.3">
      <c r="B58" s="67" t="s">
        <v>191</v>
      </c>
      <c r="C58" s="67"/>
      <c r="D58" s="67"/>
      <c r="E58" s="67"/>
      <c r="F58" s="67"/>
      <c r="G58" s="67"/>
      <c r="H58" s="67"/>
      <c r="I58" s="67"/>
      <c r="J58" s="67"/>
      <c r="K58" s="67"/>
    </row>
    <row r="59" spans="2:11" x14ac:dyDescent="0.3">
      <c r="B59" s="67" t="s">
        <v>185</v>
      </c>
      <c r="C59" s="67"/>
      <c r="D59" s="67"/>
      <c r="E59" s="67"/>
      <c r="F59" s="67"/>
      <c r="G59" s="67"/>
      <c r="H59" s="67"/>
      <c r="I59" s="67"/>
      <c r="J59" s="67"/>
      <c r="K59" s="67"/>
    </row>
    <row r="60" spans="2:11" x14ac:dyDescent="0.3">
      <c r="B60" s="20"/>
      <c r="C60" s="20"/>
      <c r="D60" s="20"/>
      <c r="E60" s="20"/>
      <c r="F60" s="20"/>
      <c r="G60" s="20"/>
      <c r="H60" s="20"/>
      <c r="I60" s="20"/>
      <c r="J60" s="20"/>
      <c r="K60" s="20"/>
    </row>
    <row r="61" spans="2:11" x14ac:dyDescent="0.3">
      <c r="B61" s="50"/>
      <c r="C61" s="50"/>
      <c r="D61" s="50"/>
      <c r="E61" s="50"/>
      <c r="F61" s="50"/>
      <c r="G61" s="50"/>
      <c r="H61" s="50"/>
      <c r="I61" s="50"/>
      <c r="J61" s="50"/>
      <c r="K61" s="50"/>
    </row>
    <row r="62" spans="2:11" x14ac:dyDescent="0.3">
      <c r="B62" s="66"/>
      <c r="C62" s="66"/>
      <c r="D62" s="66"/>
      <c r="E62" s="66"/>
      <c r="F62" s="66"/>
      <c r="G62" s="66"/>
      <c r="H62" s="66"/>
      <c r="I62" s="66"/>
      <c r="J62" s="66"/>
      <c r="K62" s="66"/>
    </row>
    <row r="64" spans="2:11" x14ac:dyDescent="0.3">
      <c r="B64" s="66"/>
      <c r="C64" s="66"/>
      <c r="D64" s="66"/>
      <c r="E64" s="66"/>
      <c r="F64" s="66"/>
      <c r="G64" s="66"/>
      <c r="H64" s="66"/>
      <c r="I64" s="66"/>
      <c r="J64" s="66"/>
      <c r="K64" s="66"/>
    </row>
  </sheetData>
  <mergeCells count="55">
    <mergeCell ref="B55:K55"/>
    <mergeCell ref="B56:K56"/>
    <mergeCell ref="B57:K57"/>
    <mergeCell ref="B58:K58"/>
    <mergeCell ref="C38:D38"/>
    <mergeCell ref="C39:D39"/>
    <mergeCell ref="F38:G38"/>
    <mergeCell ref="F39:G39"/>
    <mergeCell ref="C44:D44"/>
    <mergeCell ref="C45:D45"/>
    <mergeCell ref="F41:G41"/>
    <mergeCell ref="F42:G42"/>
    <mergeCell ref="F43:G43"/>
    <mergeCell ref="F44:G44"/>
    <mergeCell ref="F45:G45"/>
    <mergeCell ref="C46:D46"/>
    <mergeCell ref="B62:K62"/>
    <mergeCell ref="B59:K59"/>
    <mergeCell ref="B64:K64"/>
    <mergeCell ref="I40:K40"/>
    <mergeCell ref="C34:D34"/>
    <mergeCell ref="C35:D35"/>
    <mergeCell ref="C36:D36"/>
    <mergeCell ref="C37:D37"/>
    <mergeCell ref="F35:G35"/>
    <mergeCell ref="F36:G36"/>
    <mergeCell ref="F37:G37"/>
    <mergeCell ref="C40:D40"/>
    <mergeCell ref="F40:G40"/>
    <mergeCell ref="C41:D41"/>
    <mergeCell ref="C42:D42"/>
    <mergeCell ref="C43:D43"/>
    <mergeCell ref="F29:G29"/>
    <mergeCell ref="F30:G30"/>
    <mergeCell ref="F31:G31"/>
    <mergeCell ref="F32:G32"/>
    <mergeCell ref="F34:G34"/>
    <mergeCell ref="F33:G33"/>
    <mergeCell ref="C29:D29"/>
    <mergeCell ref="C30:D30"/>
    <mergeCell ref="C31:D31"/>
    <mergeCell ref="C32:D32"/>
    <mergeCell ref="C33:D33"/>
    <mergeCell ref="B2:K2"/>
    <mergeCell ref="C4:K4"/>
    <mergeCell ref="I6:K6"/>
    <mergeCell ref="I19:K19"/>
    <mergeCell ref="C28:D28"/>
    <mergeCell ref="F28:G28"/>
    <mergeCell ref="I28:K28"/>
    <mergeCell ref="F46:G46"/>
    <mergeCell ref="B51:K51"/>
    <mergeCell ref="B52:K52"/>
    <mergeCell ref="B53:K53"/>
    <mergeCell ref="B54:K54"/>
  </mergeCells>
  <pageMargins left="0.7" right="0.7" top="0.75" bottom="0.75" header="0.3" footer="0.3"/>
  <pageSetup paperSize="9"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C98C6-BA88-476B-92C9-134839D29307}">
  <sheetPr>
    <tabColor rgb="FF002060"/>
  </sheetPr>
  <dimension ref="A1"/>
  <sheetViews>
    <sheetView topLeftCell="A6"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44"/>
  <sheetViews>
    <sheetView zoomScale="120" zoomScaleNormal="12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I35" sqref="I35"/>
    </sheetView>
  </sheetViews>
  <sheetFormatPr defaultColWidth="8.77734375" defaultRowHeight="14.4" x14ac:dyDescent="0.3"/>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2" customFormat="1" x14ac:dyDescent="0.3">
      <c r="A1" s="2" t="str">
        <f>'Data Sheet'!B1</f>
        <v>MARUTI SUZUKI INDIA LTD</v>
      </c>
      <c r="H1" t="str">
        <f>UPDATE</f>
        <v/>
      </c>
      <c r="J1" s="3"/>
      <c r="K1" s="3"/>
      <c r="M1" s="2" t="s">
        <v>1</v>
      </c>
    </row>
    <row r="3" spans="1:14" s="2" customFormat="1" x14ac:dyDescent="0.3">
      <c r="A3" s="11" t="s">
        <v>2</v>
      </c>
      <c r="B3" s="12">
        <f>'Data Sheet'!B16</f>
        <v>42460</v>
      </c>
      <c r="C3" s="12">
        <f>'Data Sheet'!C16</f>
        <v>42825</v>
      </c>
      <c r="D3" s="12">
        <f>'Data Sheet'!D16</f>
        <v>43190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x14ac:dyDescent="0.3">
      <c r="A4" s="2" t="s">
        <v>6</v>
      </c>
      <c r="B4" s="1">
        <f>'Data Sheet'!B17</f>
        <v>57589</v>
      </c>
      <c r="C4" s="1">
        <f>'Data Sheet'!C17</f>
        <v>68085</v>
      </c>
      <c r="D4" s="1">
        <f>'Data Sheet'!D17</f>
        <v>79809.399999999994</v>
      </c>
      <c r="E4" s="1">
        <f>'Data Sheet'!E17</f>
        <v>86068.5</v>
      </c>
      <c r="F4" s="1">
        <f>'Data Sheet'!F17</f>
        <v>75660</v>
      </c>
      <c r="G4" s="1">
        <f>'Data Sheet'!G17</f>
        <v>70372</v>
      </c>
      <c r="H4" s="1">
        <f>'Data Sheet'!H17</f>
        <v>88329.8</v>
      </c>
      <c r="I4" s="1">
        <f>'Data Sheet'!I17</f>
        <v>117571.3</v>
      </c>
      <c r="J4" s="1">
        <f>'Data Sheet'!J17</f>
        <v>141858.20000000001</v>
      </c>
      <c r="K4" s="1">
        <f>'Data Sheet'!K17</f>
        <v>152913</v>
      </c>
      <c r="L4" s="1">
        <f>SUM(Quarters!H4:K4)</f>
        <v>171773.59999999998</v>
      </c>
      <c r="M4" s="1">
        <f>$K4+M23*K4</f>
        <v>183607.37828371054</v>
      </c>
      <c r="N4" s="1">
        <f>$K4+N23*L4</f>
        <v>169633.55946652248</v>
      </c>
    </row>
    <row r="5" spans="1:14" x14ac:dyDescent="0.3">
      <c r="A5" t="s">
        <v>7</v>
      </c>
      <c r="B5" s="6">
        <f>SUM('Data Sheet'!B18,'Data Sheet'!B20:B24, -1*'Data Sheet'!B19)</f>
        <v>48564.900000000009</v>
      </c>
      <c r="C5" s="6">
        <f>SUM('Data Sheet'!C18,'Data Sheet'!C20:C24, -1*'Data Sheet'!C19)</f>
        <v>57663.700000000004</v>
      </c>
      <c r="D5" s="6">
        <f>SUM('Data Sheet'!D18,'Data Sheet'!D20:D24, -1*'Data Sheet'!D19)</f>
        <v>67691.5</v>
      </c>
      <c r="E5" s="6">
        <f>SUM('Data Sheet'!E18,'Data Sheet'!E20:E24, -1*'Data Sheet'!E19)</f>
        <v>75012.2</v>
      </c>
      <c r="F5" s="6">
        <f>SUM('Data Sheet'!F18,'Data Sheet'!F20:F24, -1*'Data Sheet'!F19)</f>
        <v>68305</v>
      </c>
      <c r="G5" s="6">
        <f>SUM('Data Sheet'!G18,'Data Sheet'!G20:G24, -1*'Data Sheet'!G19)</f>
        <v>64961.4</v>
      </c>
      <c r="H5" s="6">
        <f>SUM('Data Sheet'!H18,'Data Sheet'!H20:H24, -1*'Data Sheet'!H19)</f>
        <v>82577.799999999988</v>
      </c>
      <c r="I5" s="6">
        <f>SUM('Data Sheet'!I18,'Data Sheet'!I20:I24, -1*'Data Sheet'!I19)</f>
        <v>106542.1</v>
      </c>
      <c r="J5" s="6">
        <f>SUM('Data Sheet'!J18,'Data Sheet'!J20:J24, -1*'Data Sheet'!J19)</f>
        <v>123231.90000000001</v>
      </c>
      <c r="K5" s="6">
        <f>SUM('Data Sheet'!K18,'Data Sheet'!K20:K24, -1*'Data Sheet'!K19)</f>
        <v>132689.4</v>
      </c>
      <c r="L5" s="6">
        <f>SUM(Quarters!H5:K5)</f>
        <v>151647.9</v>
      </c>
      <c r="M5" s="6">
        <f t="shared" ref="M5:N5" si="0">M4-M6</f>
        <v>161397.27192273387</v>
      </c>
      <c r="N5" s="6">
        <f t="shared" si="0"/>
        <v>151500.60402525877</v>
      </c>
    </row>
    <row r="6" spans="1:14" s="2" customFormat="1" x14ac:dyDescent="0.3">
      <c r="A6" s="2" t="s">
        <v>8</v>
      </c>
      <c r="B6" s="1">
        <f>B4-B5</f>
        <v>9024.0999999999913</v>
      </c>
      <c r="C6" s="1">
        <f t="shared" ref="C6:K6" si="1">C4-C5</f>
        <v>10421.299999999996</v>
      </c>
      <c r="D6" s="1">
        <f t="shared" si="1"/>
        <v>12117.899999999994</v>
      </c>
      <c r="E6" s="1">
        <f t="shared" si="1"/>
        <v>11056.300000000003</v>
      </c>
      <c r="F6" s="1">
        <f t="shared" si="1"/>
        <v>7355</v>
      </c>
      <c r="G6" s="1">
        <f t="shared" si="1"/>
        <v>5410.5999999999985</v>
      </c>
      <c r="H6" s="1">
        <f t="shared" si="1"/>
        <v>5752.0000000000146</v>
      </c>
      <c r="I6" s="1">
        <f t="shared" si="1"/>
        <v>11029.199999999997</v>
      </c>
      <c r="J6" s="1">
        <f t="shared" si="1"/>
        <v>18626.300000000003</v>
      </c>
      <c r="K6" s="1">
        <f t="shared" si="1"/>
        <v>20223.600000000006</v>
      </c>
      <c r="L6" s="1">
        <f>SUM(Quarters!H6:K6)</f>
        <v>20125.7</v>
      </c>
      <c r="M6" s="1">
        <f>M4*M24</f>
        <v>22210.106360976682</v>
      </c>
      <c r="N6" s="1">
        <f>N4*N24</f>
        <v>18132.955441263712</v>
      </c>
    </row>
    <row r="7" spans="1:14" x14ac:dyDescent="0.3">
      <c r="A7" t="s">
        <v>9</v>
      </c>
      <c r="B7" s="6">
        <f>'Data Sheet'!B25</f>
        <v>1464.1</v>
      </c>
      <c r="C7" s="6">
        <f>'Data Sheet'!C25</f>
        <v>2399.1999999999998</v>
      </c>
      <c r="D7" s="6">
        <f>'Data Sheet'!D25</f>
        <v>2154.6</v>
      </c>
      <c r="E7" s="6">
        <f>'Data Sheet'!E25</f>
        <v>2664.2</v>
      </c>
      <c r="F7" s="6">
        <f>'Data Sheet'!F25</f>
        <v>3410.4</v>
      </c>
      <c r="G7" s="6">
        <f>'Data Sheet'!G25</f>
        <v>3046.3</v>
      </c>
      <c r="H7" s="6">
        <f>'Data Sheet'!H25</f>
        <v>1860.8</v>
      </c>
      <c r="I7" s="6">
        <f>'Data Sheet'!I25</f>
        <v>2306.6</v>
      </c>
      <c r="J7" s="6">
        <f>'Data Sheet'!J25</f>
        <v>4247.6000000000004</v>
      </c>
      <c r="K7" s="6">
        <f>'Data Sheet'!K25</f>
        <v>5198.8</v>
      </c>
      <c r="L7" s="6">
        <f>SUM(Quarters!H7:K7)</f>
        <v>5660.8</v>
      </c>
      <c r="M7" s="6">
        <v>0</v>
      </c>
      <c r="N7" s="6">
        <v>0</v>
      </c>
    </row>
    <row r="8" spans="1:14" x14ac:dyDescent="0.3">
      <c r="A8" t="s">
        <v>10</v>
      </c>
      <c r="B8" s="6">
        <f>'Data Sheet'!B26</f>
        <v>2821.8</v>
      </c>
      <c r="C8" s="6">
        <f>'Data Sheet'!C26</f>
        <v>2603.9</v>
      </c>
      <c r="D8" s="6">
        <f>'Data Sheet'!D26</f>
        <v>2759.8</v>
      </c>
      <c r="E8" s="6">
        <f>'Data Sheet'!E26</f>
        <v>3020.8</v>
      </c>
      <c r="F8" s="6">
        <f>'Data Sheet'!F26</f>
        <v>3528.4</v>
      </c>
      <c r="G8" s="6">
        <f>'Data Sheet'!G26</f>
        <v>3034.1</v>
      </c>
      <c r="H8" s="6">
        <f>'Data Sheet'!H26</f>
        <v>2789</v>
      </c>
      <c r="I8" s="6">
        <f>'Data Sheet'!I26</f>
        <v>2825.7</v>
      </c>
      <c r="J8" s="6">
        <f>'Data Sheet'!J26</f>
        <v>5255.8</v>
      </c>
      <c r="K8" s="6">
        <f>'Data Sheet'!K26</f>
        <v>5608.2</v>
      </c>
      <c r="L8" s="6">
        <f>SUM(Quarters!H8:K8)</f>
        <v>6455.4</v>
      </c>
      <c r="M8" s="6">
        <f>+$L8</f>
        <v>6455.4</v>
      </c>
      <c r="N8" s="6">
        <f>+$L8</f>
        <v>6455.4</v>
      </c>
    </row>
    <row r="9" spans="1:14" x14ac:dyDescent="0.3">
      <c r="A9" t="s">
        <v>11</v>
      </c>
      <c r="B9" s="6">
        <f>'Data Sheet'!B27</f>
        <v>81.7</v>
      </c>
      <c r="C9" s="6">
        <f>'Data Sheet'!C27</f>
        <v>89.4</v>
      </c>
      <c r="D9" s="6">
        <f>'Data Sheet'!D27</f>
        <v>345.8</v>
      </c>
      <c r="E9" s="6">
        <f>'Data Sheet'!E27</f>
        <v>75.900000000000006</v>
      </c>
      <c r="F9" s="6">
        <f>'Data Sheet'!F27</f>
        <v>134.19999999999999</v>
      </c>
      <c r="G9" s="6">
        <f>'Data Sheet'!G27</f>
        <v>101.8</v>
      </c>
      <c r="H9" s="6">
        <f>'Data Sheet'!H27</f>
        <v>126.6</v>
      </c>
      <c r="I9" s="6">
        <f>'Data Sheet'!I27</f>
        <v>187</v>
      </c>
      <c r="J9" s="6">
        <f>'Data Sheet'!J27</f>
        <v>193.6</v>
      </c>
      <c r="K9" s="6">
        <f>'Data Sheet'!K27</f>
        <v>194.2</v>
      </c>
      <c r="L9" s="6">
        <f>SUM(Quarters!H9:K9)</f>
        <v>213.3</v>
      </c>
      <c r="M9" s="6">
        <f>+$L9</f>
        <v>213.3</v>
      </c>
      <c r="N9" s="6">
        <f>+$L9</f>
        <v>213.3</v>
      </c>
    </row>
    <row r="10" spans="1:14" x14ac:dyDescent="0.3">
      <c r="A10" t="s">
        <v>12</v>
      </c>
      <c r="B10" s="6">
        <f>'Data Sheet'!B28</f>
        <v>7584.7</v>
      </c>
      <c r="C10" s="6">
        <f>'Data Sheet'!C28</f>
        <v>10127.200000000001</v>
      </c>
      <c r="D10" s="6">
        <f>'Data Sheet'!D28</f>
        <v>11166.9</v>
      </c>
      <c r="E10" s="6">
        <f>'Data Sheet'!E28</f>
        <v>10623.8</v>
      </c>
      <c r="F10" s="6">
        <f>'Data Sheet'!F28</f>
        <v>7102.8</v>
      </c>
      <c r="G10" s="6">
        <f>'Data Sheet'!G28</f>
        <v>5321</v>
      </c>
      <c r="H10" s="6">
        <f>'Data Sheet'!H28</f>
        <v>4697.2</v>
      </c>
      <c r="I10" s="6">
        <f>'Data Sheet'!I28</f>
        <v>10323.1</v>
      </c>
      <c r="J10" s="6">
        <f>'Data Sheet'!J28</f>
        <v>17424.5</v>
      </c>
      <c r="K10" s="6">
        <f>'Data Sheet'!K28</f>
        <v>19620</v>
      </c>
      <c r="L10" s="6">
        <f>SUM(Quarters!H10:K10)</f>
        <v>19117.8</v>
      </c>
      <c r="M10" s="6">
        <f>M6+M7-SUM(M8:M9)</f>
        <v>15541.406360976682</v>
      </c>
      <c r="N10" s="6">
        <f>N6+N7-SUM(N8:N9)</f>
        <v>11464.255441263711</v>
      </c>
    </row>
    <row r="11" spans="1:14" x14ac:dyDescent="0.3">
      <c r="A11" t="s">
        <v>13</v>
      </c>
      <c r="B11" s="6">
        <f>'Data Sheet'!B29</f>
        <v>2087.5</v>
      </c>
      <c r="C11" s="6">
        <f>'Data Sheet'!C29</f>
        <v>2616.1999999999998</v>
      </c>
      <c r="D11" s="6">
        <f>'Data Sheet'!D29</f>
        <v>3286.2</v>
      </c>
      <c r="E11" s="6">
        <f>'Data Sheet'!E29</f>
        <v>2973.2</v>
      </c>
      <c r="F11" s="6">
        <f>'Data Sheet'!F29</f>
        <v>1425.2</v>
      </c>
      <c r="G11" s="6">
        <f>'Data Sheet'!G29</f>
        <v>931.9</v>
      </c>
      <c r="H11" s="6">
        <f>'Data Sheet'!H29</f>
        <v>817.7</v>
      </c>
      <c r="I11" s="6">
        <f>'Data Sheet'!I29</f>
        <v>2112.1</v>
      </c>
      <c r="J11" s="6">
        <f>'Data Sheet'!J29</f>
        <v>3936.3</v>
      </c>
      <c r="K11" s="6">
        <f>'Data Sheet'!K29</f>
        <v>5119.8</v>
      </c>
      <c r="L11" s="6">
        <f>SUM(Quarters!H11:K11)</f>
        <v>4186.2</v>
      </c>
      <c r="M11" s="7">
        <f>IF($L10&gt;0,$L11/$L10,0)</f>
        <v>0.21896870978878322</v>
      </c>
      <c r="N11" s="7">
        <f>IF($L10&gt;0,$L11/$L10,0)</f>
        <v>0.21896870978878322</v>
      </c>
    </row>
    <row r="12" spans="1:14" s="2" customFormat="1" x14ac:dyDescent="0.3">
      <c r="A12" s="2" t="s">
        <v>14</v>
      </c>
      <c r="B12" s="1">
        <f>'Data Sheet'!B30</f>
        <v>5497.2</v>
      </c>
      <c r="C12" s="1">
        <f>'Data Sheet'!C30</f>
        <v>7509.9</v>
      </c>
      <c r="D12" s="1">
        <f>'Data Sheet'!D30</f>
        <v>7880</v>
      </c>
      <c r="E12" s="1">
        <f>'Data Sheet'!E30</f>
        <v>7649.1</v>
      </c>
      <c r="F12" s="1">
        <f>'Data Sheet'!F30</f>
        <v>5676</v>
      </c>
      <c r="G12" s="1">
        <f>'Data Sheet'!G30</f>
        <v>4389.1000000000004</v>
      </c>
      <c r="H12" s="1">
        <f>'Data Sheet'!H30</f>
        <v>3879.5</v>
      </c>
      <c r="I12" s="1">
        <f>'Data Sheet'!I30</f>
        <v>8211</v>
      </c>
      <c r="J12" s="1">
        <f>'Data Sheet'!J30</f>
        <v>13488.2</v>
      </c>
      <c r="K12" s="1">
        <f>'Data Sheet'!K30</f>
        <v>14500.2</v>
      </c>
      <c r="L12" s="1">
        <f>SUM(Quarters!H12:K12)</f>
        <v>14931.6</v>
      </c>
      <c r="M12" s="1">
        <f>M10-M11*M10</f>
        <v>12138.324661810429</v>
      </c>
      <c r="N12" s="1">
        <f>N10-N11*N10</f>
        <v>8953.9422186011579</v>
      </c>
    </row>
    <row r="13" spans="1:14" x14ac:dyDescent="0.3">
      <c r="A13" t="s">
        <v>57</v>
      </c>
      <c r="B13" s="6">
        <f>IF('Data Sheet'!B93&gt;0,B12/'Data Sheet'!B93,0)</f>
        <v>181.96623634558091</v>
      </c>
      <c r="C13" s="6">
        <f>IF('Data Sheet'!C93&gt;0,C12/'Data Sheet'!C93,0)</f>
        <v>248.58987090367427</v>
      </c>
      <c r="D13" s="6">
        <f>IF('Data Sheet'!D93&gt;0,D12/'Data Sheet'!D93,0)</f>
        <v>260.84078119827871</v>
      </c>
      <c r="E13" s="6">
        <f>IF('Data Sheet'!E93&gt;0,E12/'Data Sheet'!E93,0)</f>
        <v>253.19761668321749</v>
      </c>
      <c r="F13" s="6">
        <f>IF('Data Sheet'!F93&gt;0,F12/'Data Sheet'!F93,0)</f>
        <v>187.88480635551142</v>
      </c>
      <c r="G13" s="6">
        <f>IF('Data Sheet'!G93&gt;0,G12/'Data Sheet'!G93,0)</f>
        <v>145.28632903012249</v>
      </c>
      <c r="H13" s="6">
        <f>IF('Data Sheet'!H93&gt;0,H12/'Data Sheet'!H93,0)</f>
        <v>128.41774246938098</v>
      </c>
      <c r="I13" s="6">
        <f>IF('Data Sheet'!I93&gt;0,I12/'Data Sheet'!I93,0)</f>
        <v>271.79741807348557</v>
      </c>
      <c r="J13" s="6">
        <f>IF('Data Sheet'!J93&gt;0,J12/'Data Sheet'!J93,0)</f>
        <v>429.01399491094151</v>
      </c>
      <c r="K13" s="6">
        <f>IF('Data Sheet'!K93&gt;0,K12/'Data Sheet'!K93,0)</f>
        <v>461.20229007633588</v>
      </c>
      <c r="L13" s="6">
        <f>IF('Data Sheet'!$B6&gt;0,'Profit &amp; Loss'!L12/'Data Sheet'!$B6,0)</f>
        <v>474.91977740134143</v>
      </c>
      <c r="M13" s="6">
        <f>IF('Data Sheet'!$B6&gt;0,'Profit &amp; Loss'!M12/'Data Sheet'!$B6,0)</f>
        <v>386.07586905704829</v>
      </c>
      <c r="N13" s="6">
        <f>IF('Data Sheet'!$B6&gt;0,'Profit &amp; Loss'!N12/'Data Sheet'!$B6,0)</f>
        <v>284.79226910194052</v>
      </c>
    </row>
    <row r="14" spans="1:14" x14ac:dyDescent="0.3">
      <c r="A14" t="s">
        <v>16</v>
      </c>
      <c r="B14" s="6">
        <f>IF(B15&gt;0,B15/B13,"")</f>
        <v>20.423019537218952</v>
      </c>
      <c r="C14" s="6">
        <f t="shared" ref="C14:K14" si="2">IF(C15&gt;0,C15/C13,"")</f>
        <v>24.199296528582273</v>
      </c>
      <c r="D14" s="6">
        <f t="shared" si="2"/>
        <v>33.971298350253811</v>
      </c>
      <c r="E14" s="6">
        <f t="shared" si="2"/>
        <v>26.353131152684629</v>
      </c>
      <c r="F14" s="6">
        <f t="shared" si="2"/>
        <v>22.824091437632138</v>
      </c>
      <c r="G14" s="6">
        <f t="shared" si="2"/>
        <v>47.211599644574051</v>
      </c>
      <c r="H14" s="6">
        <f t="shared" si="2"/>
        <v>58.88049310478155</v>
      </c>
      <c r="I14" s="6">
        <f t="shared" si="2"/>
        <v>30.508567957617831</v>
      </c>
      <c r="J14" s="6">
        <f t="shared" si="2"/>
        <v>29.370487092421524</v>
      </c>
      <c r="K14" s="6">
        <f t="shared" si="2"/>
        <v>24.982855133032647</v>
      </c>
      <c r="L14" s="6">
        <f t="shared" ref="L14" si="3">IF(L13&gt;0,L15/L13,0)</f>
        <v>26.596070749283399</v>
      </c>
      <c r="M14" s="6">
        <f>M25</f>
        <v>27.864495233088849</v>
      </c>
      <c r="N14" s="6">
        <f>N25</f>
        <v>26.596070749283399</v>
      </c>
    </row>
    <row r="15" spans="1:14" s="2" customFormat="1" x14ac:dyDescent="0.3">
      <c r="A15" s="2" t="s">
        <v>58</v>
      </c>
      <c r="B15" s="1">
        <f>'Data Sheet'!B90</f>
        <v>3716.3</v>
      </c>
      <c r="C15" s="1">
        <f>'Data Sheet'!C90</f>
        <v>6015.7</v>
      </c>
      <c r="D15" s="1">
        <f>'Data Sheet'!D90</f>
        <v>8861.1</v>
      </c>
      <c r="E15" s="1">
        <f>'Data Sheet'!E90</f>
        <v>6672.55</v>
      </c>
      <c r="F15" s="1">
        <f>'Data Sheet'!F90</f>
        <v>4288.3</v>
      </c>
      <c r="G15" s="1">
        <f>'Data Sheet'!G90</f>
        <v>6859.2</v>
      </c>
      <c r="H15" s="1">
        <f>'Data Sheet'!H90</f>
        <v>7561.3</v>
      </c>
      <c r="I15" s="1">
        <f>'Data Sheet'!I90</f>
        <v>8292.15</v>
      </c>
      <c r="J15" s="1">
        <f>'Data Sheet'!J90</f>
        <v>12600.35</v>
      </c>
      <c r="K15" s="1">
        <f>'Data Sheet'!K90</f>
        <v>11522.15</v>
      </c>
      <c r="L15" s="1">
        <f>'Data Sheet'!B8</f>
        <v>12631</v>
      </c>
      <c r="M15" s="8">
        <f>M13*M14</f>
        <v>10757.809212950757</v>
      </c>
      <c r="N15" s="9">
        <f>N13*N14</f>
        <v>7574.3553378841661</v>
      </c>
    </row>
    <row r="17" spans="1:14" s="2" customFormat="1" x14ac:dyDescent="0.3">
      <c r="A17" s="2" t="s">
        <v>15</v>
      </c>
    </row>
    <row r="18" spans="1:14" x14ac:dyDescent="0.3">
      <c r="A18" t="s">
        <v>17</v>
      </c>
      <c r="B18" s="5">
        <f>IF('Data Sheet'!B30&gt;0, 'Data Sheet'!B31/'Data Sheet'!B30, 0)</f>
        <v>0.19227970603216182</v>
      </c>
      <c r="C18" s="5">
        <f>IF('Data Sheet'!C30&gt;0, 'Data Sheet'!C31/'Data Sheet'!C30, 0)</f>
        <v>0.30160188551112532</v>
      </c>
      <c r="D18" s="5">
        <f>IF('Data Sheet'!D30&gt;0, 'Data Sheet'!D31/'Data Sheet'!D30, 0)</f>
        <v>0.3065989847715736</v>
      </c>
      <c r="E18" s="5">
        <f>IF('Data Sheet'!E30&gt;0, 'Data Sheet'!E31/'Data Sheet'!E30, 0)</f>
        <v>0.31585415277614359</v>
      </c>
      <c r="F18" s="5">
        <f>IF('Data Sheet'!F30&gt;0, 'Data Sheet'!F31/'Data Sheet'!F30, 0)</f>
        <v>0.31923890063424948</v>
      </c>
      <c r="G18" s="5">
        <f>IF('Data Sheet'!G30&gt;0, 'Data Sheet'!G31/'Data Sheet'!G30, 0)</f>
        <v>0.30963067599280031</v>
      </c>
      <c r="H18" s="5">
        <f>IF('Data Sheet'!H30&gt;0, 'Data Sheet'!H31/'Data Sheet'!H30, 0)</f>
        <v>0.46707049877561541</v>
      </c>
      <c r="I18" s="5">
        <f>IF('Data Sheet'!I30&gt;0, 'Data Sheet'!I31/'Data Sheet'!I30, 0)</f>
        <v>0.3310193642674461</v>
      </c>
      <c r="J18" s="5">
        <f>IF('Data Sheet'!J30&gt;0, 'Data Sheet'!J31/'Data Sheet'!J30, 0)</f>
        <v>0.29136578639106775</v>
      </c>
      <c r="K18" s="5">
        <f>IF('Data Sheet'!K30&gt;0, 'Data Sheet'!K31/'Data Sheet'!K30, 0)</f>
        <v>0.29271320395580747</v>
      </c>
    </row>
    <row r="19" spans="1:14" x14ac:dyDescent="0.3">
      <c r="A19" t="s">
        <v>18</v>
      </c>
      <c r="B19" s="5">
        <f t="shared" ref="B19:L19" si="4">IF(B6&gt;0,B6/B4,0)</f>
        <v>0.15669832780565718</v>
      </c>
      <c r="C19" s="5">
        <f t="shared" ref="C19:K19" si="5">IF(C6&gt;0,C6/C4,0)</f>
        <v>0.15306308291106699</v>
      </c>
      <c r="D19" s="5">
        <f t="shared" si="5"/>
        <v>0.15183549807416163</v>
      </c>
      <c r="E19" s="5">
        <f t="shared" si="5"/>
        <v>0.12845930857398472</v>
      </c>
      <c r="F19" s="5">
        <f t="shared" si="5"/>
        <v>9.7211208035950306E-2</v>
      </c>
      <c r="G19" s="5">
        <f t="shared" si="5"/>
        <v>7.6885693173421227E-2</v>
      </c>
      <c r="H19" s="5">
        <f t="shared" si="5"/>
        <v>6.5119585915512257E-2</v>
      </c>
      <c r="I19" s="5">
        <f t="shared" si="5"/>
        <v>9.3808608053155801E-2</v>
      </c>
      <c r="J19" s="5">
        <f t="shared" si="5"/>
        <v>0.13130224407189717</v>
      </c>
      <c r="K19" s="5">
        <f t="shared" si="5"/>
        <v>0.13225559631947581</v>
      </c>
      <c r="L19" s="5">
        <f t="shared" si="4"/>
        <v>0.11716410437925272</v>
      </c>
    </row>
    <row r="20" spans="1:14" x14ac:dyDescent="0.3">
      <c r="B20" s="5"/>
      <c r="C20" s="5"/>
      <c r="D20" s="5"/>
      <c r="E20" s="5"/>
      <c r="F20" s="5"/>
      <c r="G20" s="5"/>
      <c r="H20" s="5"/>
      <c r="I20" s="5"/>
      <c r="J20" s="5"/>
      <c r="K20" s="5"/>
      <c r="L20" s="5"/>
    </row>
    <row r="21" spans="1:14" x14ac:dyDescent="0.3">
      <c r="B21" s="5"/>
      <c r="C21" s="5"/>
      <c r="D21" s="5"/>
      <c r="E21" s="5"/>
      <c r="F21" s="5"/>
      <c r="G21" s="5"/>
      <c r="H21" s="5"/>
      <c r="I21" s="5"/>
      <c r="J21" s="5"/>
      <c r="K21" s="5"/>
      <c r="L21" s="5"/>
    </row>
    <row r="22" spans="1:14" s="2" customFormat="1" x14ac:dyDescent="0.3">
      <c r="A22" s="11"/>
      <c r="B22" s="12"/>
      <c r="C22" s="12"/>
      <c r="D22" s="12"/>
      <c r="E22" s="12"/>
      <c r="F22" s="12"/>
      <c r="G22" s="12" t="s">
        <v>19</v>
      </c>
      <c r="H22" s="12" t="s">
        <v>65</v>
      </c>
      <c r="I22" s="12" t="s">
        <v>66</v>
      </c>
      <c r="J22" s="12" t="s">
        <v>67</v>
      </c>
      <c r="K22" s="12" t="s">
        <v>68</v>
      </c>
      <c r="L22" s="13" t="s">
        <v>69</v>
      </c>
      <c r="M22" s="13" t="s">
        <v>20</v>
      </c>
      <c r="N22" s="13" t="s">
        <v>21</v>
      </c>
    </row>
    <row r="23" spans="1:14" s="2" customFormat="1" x14ac:dyDescent="0.3">
      <c r="A23"/>
      <c r="B23"/>
      <c r="C23"/>
      <c r="D23"/>
      <c r="E23"/>
      <c r="F23"/>
      <c r="G23" t="s">
        <v>22</v>
      </c>
      <c r="H23" s="5">
        <f>IF(B4=0,"",POWER($K4/B4,1/9)-1)</f>
        <v>0.11460955954285446</v>
      </c>
      <c r="I23" s="5">
        <f>IF(D4=0,"",POWER($K4/D4,1/7)-1)</f>
        <v>9.7340682540987045E-2</v>
      </c>
      <c r="J23" s="5">
        <f>IF(F4=0,"",POWER($K4/F4,1/5)-1)</f>
        <v>0.15110678651705722</v>
      </c>
      <c r="K23" s="5">
        <f>IF(H4=0,"",POWER($K4/H4, 1/3)-1)</f>
        <v>0.20073099268022032</v>
      </c>
      <c r="L23" s="5">
        <f>IF(ISERROR(MAX(IF(J4=0,"",(K4-J4)/J4),IF(K4=0,"",(L4-K4)/K4))),"",MAX(IF(J4=0,"",(K4-J4)/J4),IF(K4=0,"",(L4-K4)/K4)))</f>
        <v>0.12334203108957366</v>
      </c>
      <c r="M23" s="16">
        <f>MAX(K23:L23)</f>
        <v>0.20073099268022032</v>
      </c>
      <c r="N23" s="16">
        <f>MIN(H23:L23)</f>
        <v>9.7340682540987045E-2</v>
      </c>
    </row>
    <row r="24" spans="1:14" x14ac:dyDescent="0.3">
      <c r="G24" t="s">
        <v>18</v>
      </c>
      <c r="H24" s="5">
        <f>IF(SUM(B4:$K$4)=0,"",SUMPRODUCT(B19:$K$19,B4:$K$4)/SUM(B4:$K$4))</f>
        <v>0.11832194660690756</v>
      </c>
      <c r="I24" s="5">
        <f>IF(SUM(E4:$K$4)=0,"",SUMPRODUCT(E19:$K$19,E4:$K$4)/SUM(E4:$K$4))</f>
        <v>0.10842787832736153</v>
      </c>
      <c r="J24" s="5">
        <f>IF(SUM(G4:$K$4)=0,"",SUMPRODUCT(G19:$K$19,G4:$K$4)/SUM(G4:$K$4))</f>
        <v>0.106894859120387</v>
      </c>
      <c r="K24" s="5">
        <f>IF(SUM(I4:$K$4)=0, "", SUMPRODUCT(I19:$K$19,I4:$K$4)/SUM(I4:$K$4))</f>
        <v>0.120965217022257</v>
      </c>
      <c r="L24" s="5">
        <f>L19</f>
        <v>0.11716410437925272</v>
      </c>
      <c r="M24" s="16">
        <f>MAX(K24:L24)</f>
        <v>0.120965217022257</v>
      </c>
      <c r="N24" s="16">
        <f>MIN(H24:L24)</f>
        <v>0.106894859120387</v>
      </c>
    </row>
    <row r="25" spans="1:14" x14ac:dyDescent="0.3">
      <c r="G25" t="s">
        <v>23</v>
      </c>
      <c r="H25" s="6">
        <f>IF(ISERROR(AVERAGEIF(B14:$L14,"&gt;0")),"",AVERAGEIF(B14:$L14,"&gt;0"))</f>
        <v>31.392810062552982</v>
      </c>
      <c r="I25" s="6">
        <f>IF(ISERROR(AVERAGEIF(E14:$L14,"&gt;0")),"",AVERAGEIF(E14:$L14,"&gt;0"))</f>
        <v>33.340912034003466</v>
      </c>
      <c r="J25" s="6">
        <f>IF(ISERROR(AVERAGEIF(G14:$L14,"&gt;0")),"",AVERAGEIF(G14:$L14,"&gt;0"))</f>
        <v>36.258345613618495</v>
      </c>
      <c r="K25" s="6">
        <f>IF(ISERROR(AVERAGEIF(I14:$L14,"&gt;0")),"",AVERAGEIF(I14:$L14,"&gt;0"))</f>
        <v>27.864495233088849</v>
      </c>
      <c r="L25" s="6">
        <f>L14</f>
        <v>26.596070749283399</v>
      </c>
      <c r="M25" s="1">
        <f>MAX(K25:L25)</f>
        <v>27.864495233088849</v>
      </c>
      <c r="N25" s="1">
        <f>MIN(H25:L25)</f>
        <v>26.596070749283399</v>
      </c>
    </row>
    <row r="28" spans="1:14" x14ac:dyDescent="0.3">
      <c r="A28" s="6" t="s">
        <v>95</v>
      </c>
      <c r="C28" s="5">
        <f>C4/B4-1</f>
        <v>0.18225702825192314</v>
      </c>
      <c r="D28" s="5">
        <f t="shared" ref="D28:K28" si="6">D4/C4-1</f>
        <v>0.17220239406624072</v>
      </c>
      <c r="E28" s="5">
        <f t="shared" si="6"/>
        <v>7.8425598989592782E-2</v>
      </c>
      <c r="F28" s="5">
        <f t="shared" si="6"/>
        <v>-0.12093274542951249</v>
      </c>
      <c r="G28" s="5">
        <f t="shared" si="6"/>
        <v>-6.9891620407084298E-2</v>
      </c>
      <c r="H28" s="5">
        <f t="shared" si="6"/>
        <v>0.25518387995225389</v>
      </c>
      <c r="I28" s="5">
        <f t="shared" si="6"/>
        <v>0.3310490910202446</v>
      </c>
      <c r="J28" s="5">
        <f t="shared" si="6"/>
        <v>0.20657167182807368</v>
      </c>
      <c r="K28" s="5">
        <f t="shared" si="6"/>
        <v>7.7928522989858751E-2</v>
      </c>
    </row>
    <row r="29" spans="1:14" x14ac:dyDescent="0.3">
      <c r="A29" s="6" t="s">
        <v>101</v>
      </c>
      <c r="B29">
        <f>'Data Sheet'!B17-SUM('Data Sheet'!B18:B21)</f>
        <v>17770.700000000004</v>
      </c>
      <c r="C29">
        <f>'Data Sheet'!C17-SUM('Data Sheet'!C18:C21)</f>
        <v>19682.699999999997</v>
      </c>
      <c r="D29">
        <f>'Data Sheet'!D17-SUM('Data Sheet'!D18:D21)</f>
        <v>23769.399999999994</v>
      </c>
      <c r="E29">
        <f>'Data Sheet'!E17-SUM('Data Sheet'!E18:E21)</f>
        <v>25594.5</v>
      </c>
      <c r="F29">
        <f>'Data Sheet'!F17-SUM('Data Sheet'!F18:F21)</f>
        <v>20941.700000000004</v>
      </c>
      <c r="G29">
        <f>'Data Sheet'!G17-SUM('Data Sheet'!G18:G21)</f>
        <v>18935.199999999997</v>
      </c>
      <c r="H29">
        <f>'Data Sheet'!H17-SUM('Data Sheet'!H18:H21)</f>
        <v>20616.199999999997</v>
      </c>
      <c r="I29">
        <f>'Data Sheet'!I17-SUM('Data Sheet'!I18:I21)</f>
        <v>28602.000000000015</v>
      </c>
      <c r="J29">
        <f>'Data Sheet'!J17-SUM('Data Sheet'!J18:J21)</f>
        <v>39387.400000000009</v>
      </c>
      <c r="K29">
        <f>'Data Sheet'!K17-SUM('Data Sheet'!K18:K21)</f>
        <v>39920.199999999997</v>
      </c>
    </row>
    <row r="30" spans="1:14" x14ac:dyDescent="0.3">
      <c r="A30" s="6" t="s">
        <v>96</v>
      </c>
      <c r="B30" s="29">
        <f>B29/B4</f>
        <v>0.30857802705377768</v>
      </c>
      <c r="C30" s="29">
        <f t="shared" ref="C30:K30" si="7">C29/C4</f>
        <v>0.28909010795329365</v>
      </c>
      <c r="D30" s="29">
        <f t="shared" si="7"/>
        <v>0.29782707300142586</v>
      </c>
      <c r="E30" s="29">
        <f t="shared" si="7"/>
        <v>0.29737360358319248</v>
      </c>
      <c r="F30" s="29">
        <f t="shared" si="7"/>
        <v>0.27678694158075606</v>
      </c>
      <c r="G30" s="29">
        <f t="shared" si="7"/>
        <v>0.26907292673222299</v>
      </c>
      <c r="H30" s="29">
        <f t="shared" si="7"/>
        <v>0.23340027940740268</v>
      </c>
      <c r="I30" s="29">
        <f t="shared" si="7"/>
        <v>0.24327365607082693</v>
      </c>
      <c r="J30" s="29">
        <f t="shared" si="7"/>
        <v>0.27765331859561171</v>
      </c>
      <c r="K30" s="29">
        <f t="shared" si="7"/>
        <v>0.26106478847449199</v>
      </c>
    </row>
    <row r="31" spans="1:14" x14ac:dyDescent="0.3">
      <c r="A31" s="6" t="s">
        <v>97</v>
      </c>
      <c r="B31" s="29">
        <f>B6/B4</f>
        <v>0.15669832780565718</v>
      </c>
      <c r="C31" s="29">
        <f t="shared" ref="C31:K31" si="8">C6/C4</f>
        <v>0.15306308291106699</v>
      </c>
      <c r="D31" s="29">
        <f t="shared" si="8"/>
        <v>0.15183549807416163</v>
      </c>
      <c r="E31" s="29">
        <f t="shared" si="8"/>
        <v>0.12845930857398472</v>
      </c>
      <c r="F31" s="29">
        <f t="shared" si="8"/>
        <v>9.7211208035950306E-2</v>
      </c>
      <c r="G31" s="29">
        <f t="shared" si="8"/>
        <v>7.6885693173421227E-2</v>
      </c>
      <c r="H31" s="29">
        <f t="shared" si="8"/>
        <v>6.5119585915512257E-2</v>
      </c>
      <c r="I31" s="29">
        <f t="shared" si="8"/>
        <v>9.3808608053155801E-2</v>
      </c>
      <c r="J31" s="29">
        <f t="shared" si="8"/>
        <v>0.13130224407189717</v>
      </c>
      <c r="K31" s="29">
        <f t="shared" si="8"/>
        <v>0.13225559631947581</v>
      </c>
    </row>
    <row r="32" spans="1:14" x14ac:dyDescent="0.3">
      <c r="A32" s="30" t="s">
        <v>102</v>
      </c>
      <c r="B32" s="29">
        <f>(B6-B8)/B4</f>
        <v>0.10769938703571848</v>
      </c>
      <c r="C32" s="29">
        <f t="shared" ref="C32:K32" si="9">(C6-C8)/C4</f>
        <v>0.11481824190350291</v>
      </c>
      <c r="D32" s="29">
        <f t="shared" si="9"/>
        <v>0.11725561149438532</v>
      </c>
      <c r="E32" s="29">
        <f t="shared" si="9"/>
        <v>9.336168284564042E-2</v>
      </c>
      <c r="F32" s="29">
        <f t="shared" si="9"/>
        <v>5.0576262225746758E-2</v>
      </c>
      <c r="G32" s="29">
        <f t="shared" si="9"/>
        <v>3.3770533735008219E-2</v>
      </c>
      <c r="H32" s="29">
        <f t="shared" si="9"/>
        <v>3.3544738015935896E-2</v>
      </c>
      <c r="I32" s="29">
        <f t="shared" si="9"/>
        <v>6.9774681406091416E-2</v>
      </c>
      <c r="J32" s="29">
        <f t="shared" si="9"/>
        <v>9.4252570524650692E-2</v>
      </c>
      <c r="K32" s="29">
        <f t="shared" si="9"/>
        <v>9.5579839516587897E-2</v>
      </c>
    </row>
    <row r="33" spans="1:11" x14ac:dyDescent="0.3">
      <c r="A33" s="30" t="s">
        <v>103</v>
      </c>
      <c r="B33" s="29">
        <f>B12/B4</f>
        <v>9.5455729392765976E-2</v>
      </c>
      <c r="C33" s="29">
        <f t="shared" ref="C33:K33" si="10">C12/C4</f>
        <v>0.11030182859660717</v>
      </c>
      <c r="D33" s="29">
        <f t="shared" si="10"/>
        <v>9.8735236701441187E-2</v>
      </c>
      <c r="E33" s="29">
        <f t="shared" si="10"/>
        <v>8.8872235486850595E-2</v>
      </c>
      <c r="F33" s="29">
        <f t="shared" si="10"/>
        <v>7.501982553528945E-2</v>
      </c>
      <c r="G33" s="29">
        <f t="shared" si="10"/>
        <v>6.2369976695276538E-2</v>
      </c>
      <c r="H33" s="29">
        <f t="shared" si="10"/>
        <v>4.3920624749518279E-2</v>
      </c>
      <c r="I33" s="29">
        <f t="shared" si="10"/>
        <v>6.9838472484356304E-2</v>
      </c>
      <c r="J33" s="29">
        <f t="shared" si="10"/>
        <v>9.508227229726586E-2</v>
      </c>
      <c r="K33" s="29">
        <f t="shared" si="10"/>
        <v>9.4826469953502981E-2</v>
      </c>
    </row>
    <row r="34" spans="1:11" x14ac:dyDescent="0.3">
      <c r="A34" s="30" t="s">
        <v>107</v>
      </c>
      <c r="C34" s="29">
        <f>C13/B13-1</f>
        <v>0.36613184894127926</v>
      </c>
      <c r="D34" s="29">
        <f t="shared" ref="D34:K34" si="11">D13/C13-1</f>
        <v>4.9281614934952644E-2</v>
      </c>
      <c r="E34" s="29">
        <f t="shared" si="11"/>
        <v>-2.9302030456852757E-2</v>
      </c>
      <c r="F34" s="29">
        <f t="shared" si="11"/>
        <v>-0.25795191591167599</v>
      </c>
      <c r="G34" s="29">
        <f t="shared" si="11"/>
        <v>-0.22672656800563773</v>
      </c>
      <c r="H34" s="29">
        <f t="shared" si="11"/>
        <v>-0.11610580756875</v>
      </c>
      <c r="I34" s="29">
        <f>I13/H13-1</f>
        <v>1.1165098595179792</v>
      </c>
      <c r="J34" s="29">
        <f t="shared" si="11"/>
        <v>0.57843292976002236</v>
      </c>
      <c r="K34" s="29">
        <f t="shared" si="11"/>
        <v>7.5028543467623443E-2</v>
      </c>
    </row>
    <row r="35" spans="1:11" x14ac:dyDescent="0.3">
      <c r="A35" t="s">
        <v>108</v>
      </c>
      <c r="B35" s="28">
        <f>B13*B18</f>
        <v>34.988414432307181</v>
      </c>
      <c r="C35" s="28">
        <f t="shared" ref="C35:K35" si="12">C13*C18</f>
        <v>74.975173783515388</v>
      </c>
      <c r="D35" s="28">
        <f t="shared" si="12"/>
        <v>79.973518702416413</v>
      </c>
      <c r="E35" s="28">
        <f t="shared" si="12"/>
        <v>79.973518702416428</v>
      </c>
      <c r="F35" s="28">
        <f t="shared" si="12"/>
        <v>59.98013902681231</v>
      </c>
      <c r="G35" s="28">
        <f t="shared" si="12"/>
        <v>44.985104270109233</v>
      </c>
      <c r="H35" s="28">
        <f t="shared" si="12"/>
        <v>59.980139026812303</v>
      </c>
      <c r="I35" s="28">
        <f t="shared" si="12"/>
        <v>89.970208540218465</v>
      </c>
      <c r="J35" s="28">
        <f t="shared" si="12"/>
        <v>125.00000000000001</v>
      </c>
      <c r="K35" s="28">
        <f t="shared" si="12"/>
        <v>134.99999999999997</v>
      </c>
    </row>
    <row r="36" spans="1:11" x14ac:dyDescent="0.3">
      <c r="A36" s="30" t="s">
        <v>109</v>
      </c>
      <c r="C36" s="29">
        <f>C35/B35-1</f>
        <v>1.1428571428571428</v>
      </c>
      <c r="D36" s="29">
        <f t="shared" ref="D36:K36" si="13">D35/C35-1</f>
        <v>6.6666666666666652E-2</v>
      </c>
      <c r="E36" s="29">
        <f t="shared" si="13"/>
        <v>0</v>
      </c>
      <c r="F36" s="29">
        <f t="shared" si="13"/>
        <v>-0.25000000000000011</v>
      </c>
      <c r="G36" s="29">
        <f t="shared" si="13"/>
        <v>-0.25</v>
      </c>
      <c r="H36" s="29">
        <f t="shared" si="13"/>
        <v>0.33333333333333326</v>
      </c>
      <c r="I36" s="29">
        <f t="shared" si="13"/>
        <v>0.50000000000000022</v>
      </c>
      <c r="J36" s="29">
        <f t="shared" si="13"/>
        <v>0.38934878587196486</v>
      </c>
      <c r="K36" s="29">
        <f t="shared" si="13"/>
        <v>7.9999999999999627E-2</v>
      </c>
    </row>
    <row r="38" spans="1:11" x14ac:dyDescent="0.3">
      <c r="A38" s="30" t="s">
        <v>115</v>
      </c>
      <c r="B38" s="35">
        <f>'Data Sheet'!B93*'Data Sheet'!B90</f>
        <v>112269.42300000001</v>
      </c>
      <c r="C38" s="35">
        <f>'Data Sheet'!C93*'Data Sheet'!C90</f>
        <v>181734.29699999999</v>
      </c>
      <c r="D38" s="35">
        <f>'Data Sheet'!D93*'Data Sheet'!D90</f>
        <v>267693.83100000001</v>
      </c>
      <c r="E38" s="35">
        <f>'Data Sheet'!E93*'Data Sheet'!E90</f>
        <v>201577.73550000001</v>
      </c>
      <c r="F38" s="35">
        <f>'Data Sheet'!F93*'Data Sheet'!F90</f>
        <v>129549.54300000001</v>
      </c>
      <c r="G38" s="35">
        <f>'Data Sheet'!G93*'Data Sheet'!G90</f>
        <v>207216.432</v>
      </c>
      <c r="H38" s="35">
        <f>'Data Sheet'!H93*'Data Sheet'!H90</f>
        <v>228426.87300000002</v>
      </c>
      <c r="I38" s="35">
        <f>'Data Sheet'!I93*'Data Sheet'!I90</f>
        <v>250505.85149999999</v>
      </c>
      <c r="J38" s="35">
        <f>'Data Sheet'!J93*'Data Sheet'!J90</f>
        <v>396155.00400000002</v>
      </c>
      <c r="K38" s="35">
        <f>'Data Sheet'!K93*'Data Sheet'!K90</f>
        <v>362256.39600000001</v>
      </c>
    </row>
    <row r="39" spans="1:11" x14ac:dyDescent="0.3">
      <c r="A39" t="s">
        <v>116</v>
      </c>
      <c r="B39">
        <f>'Balance Sheet'!B6</f>
        <v>230.9</v>
      </c>
      <c r="C39">
        <f>'Balance Sheet'!C6</f>
        <v>483.6</v>
      </c>
      <c r="D39">
        <f>'Balance Sheet'!D6</f>
        <v>120.8</v>
      </c>
      <c r="E39">
        <f>'Balance Sheet'!E6</f>
        <v>159.6</v>
      </c>
      <c r="F39">
        <f>'Balance Sheet'!F6</f>
        <v>184.1</v>
      </c>
      <c r="G39">
        <f>'Balance Sheet'!G6</f>
        <v>540.9</v>
      </c>
      <c r="H39">
        <f>'Balance Sheet'!H6</f>
        <v>425.5</v>
      </c>
      <c r="I39">
        <f>'Balance Sheet'!I6</f>
        <v>1247.3</v>
      </c>
      <c r="J39">
        <f>'Balance Sheet'!J6</f>
        <v>118.6</v>
      </c>
      <c r="K39">
        <f>'Balance Sheet'!K6</f>
        <v>87</v>
      </c>
    </row>
    <row r="40" spans="1:11" x14ac:dyDescent="0.3">
      <c r="A40" s="30" t="s">
        <v>117</v>
      </c>
      <c r="B40">
        <f>'Data Sheet'!B69</f>
        <v>50.7</v>
      </c>
      <c r="C40">
        <f>'Data Sheet'!C69</f>
        <v>23.5</v>
      </c>
      <c r="D40">
        <f>'Data Sheet'!D69</f>
        <v>74</v>
      </c>
      <c r="E40">
        <f>'Data Sheet'!E69</f>
        <v>187.8</v>
      </c>
      <c r="F40">
        <f>'Data Sheet'!F69</f>
        <v>29</v>
      </c>
      <c r="G40">
        <f>'Data Sheet'!G69</f>
        <v>3047.1</v>
      </c>
      <c r="H40">
        <f>'Data Sheet'!H69</f>
        <v>3042.2</v>
      </c>
      <c r="I40">
        <f>'Data Sheet'!I69</f>
        <v>41.6</v>
      </c>
      <c r="J40">
        <f>'Data Sheet'!J69</f>
        <v>2827.4</v>
      </c>
      <c r="K40">
        <f>'Data Sheet'!K69</f>
        <v>552.9</v>
      </c>
    </row>
    <row r="41" spans="1:11" x14ac:dyDescent="0.3">
      <c r="A41" t="s">
        <v>118</v>
      </c>
      <c r="B41" s="35">
        <f>B38+B39-B40</f>
        <v>112449.62300000001</v>
      </c>
      <c r="C41" s="35">
        <f t="shared" ref="C41:F41" si="14">C38+C39-C40</f>
        <v>182194.397</v>
      </c>
      <c r="D41" s="35">
        <f t="shared" si="14"/>
        <v>267740.63099999999</v>
      </c>
      <c r="E41" s="35">
        <f t="shared" si="14"/>
        <v>201549.53550000003</v>
      </c>
      <c r="F41" s="35">
        <f t="shared" si="14"/>
        <v>129704.64300000001</v>
      </c>
      <c r="G41" s="35">
        <f t="shared" ref="G41" si="15">G38+G39-G40</f>
        <v>204710.23199999999</v>
      </c>
      <c r="H41" s="35">
        <f t="shared" ref="H41" si="16">H38+H39-H40</f>
        <v>225810.17300000001</v>
      </c>
      <c r="I41" s="35">
        <f t="shared" ref="I41:J41" si="17">I38+I39-I40</f>
        <v>251711.55149999997</v>
      </c>
      <c r="J41" s="35">
        <f t="shared" si="17"/>
        <v>393446.20399999997</v>
      </c>
      <c r="K41" s="35">
        <f t="shared" ref="K41" si="18">K38+K39-K40</f>
        <v>361790.49599999998</v>
      </c>
    </row>
    <row r="42" spans="1:11" x14ac:dyDescent="0.3">
      <c r="A42" s="30" t="s">
        <v>119</v>
      </c>
      <c r="B42" s="28">
        <f>B41/B6</f>
        <v>12.461034673817901</v>
      </c>
      <c r="C42" s="28">
        <f t="shared" ref="C42:K42" si="19">C41/C6</f>
        <v>17.482885724429782</v>
      </c>
      <c r="D42" s="28">
        <f t="shared" si="19"/>
        <v>22.094639417720902</v>
      </c>
      <c r="E42" s="28">
        <f t="shared" si="19"/>
        <v>18.229383745014154</v>
      </c>
      <c r="F42" s="28">
        <f t="shared" si="19"/>
        <v>17.634893677770226</v>
      </c>
      <c r="G42" s="28">
        <f t="shared" si="19"/>
        <v>37.835033452851818</v>
      </c>
      <c r="H42" s="28">
        <f t="shared" si="19"/>
        <v>39.257679589707827</v>
      </c>
      <c r="I42" s="28">
        <f t="shared" si="19"/>
        <v>22.822285523882062</v>
      </c>
      <c r="J42" s="28">
        <f t="shared" si="19"/>
        <v>21.123154034886152</v>
      </c>
      <c r="K42" s="28">
        <f t="shared" si="19"/>
        <v>17.889519966771488</v>
      </c>
    </row>
    <row r="43" spans="1:11" x14ac:dyDescent="0.3">
      <c r="A43" t="s">
        <v>120</v>
      </c>
      <c r="B43" s="28">
        <f>B41/B4</f>
        <v>1.9526232961155778</v>
      </c>
      <c r="C43" s="28">
        <f t="shared" ref="C43:K43" si="20">C41/C4</f>
        <v>2.6759843871631048</v>
      </c>
      <c r="D43" s="28">
        <f t="shared" si="20"/>
        <v>3.3547505807586577</v>
      </c>
      <c r="E43" s="28">
        <f t="shared" si="20"/>
        <v>2.341734031614354</v>
      </c>
      <c r="F43" s="28">
        <f t="shared" si="20"/>
        <v>1.7143093180015863</v>
      </c>
      <c r="G43" s="28">
        <f t="shared" si="20"/>
        <v>2.9089727732620929</v>
      </c>
      <c r="H43" s="28">
        <f t="shared" si="20"/>
        <v>2.556443838885631</v>
      </c>
      <c r="I43" s="28">
        <f t="shared" si="20"/>
        <v>2.140926837587064</v>
      </c>
      <c r="J43" s="28">
        <f t="shared" si="20"/>
        <v>2.7735175266569008</v>
      </c>
      <c r="K43" s="28">
        <f t="shared" si="20"/>
        <v>2.3659891310745325</v>
      </c>
    </row>
    <row r="44" spans="1:11" x14ac:dyDescent="0.3">
      <c r="A44" s="30" t="s">
        <v>122</v>
      </c>
      <c r="B44" s="28">
        <f>B38/'Balance Sheet'!B27</f>
        <v>3.6670179971256864</v>
      </c>
      <c r="C44" s="28">
        <f>C38/'Balance Sheet'!C27</f>
        <v>4.9017884510088985</v>
      </c>
      <c r="D44" s="28">
        <f>D38/'Balance Sheet'!D27</f>
        <v>6.2898873339379779</v>
      </c>
      <c r="E44" s="28">
        <f>E38/'Balance Sheet'!E27</f>
        <v>4.2805000307907273</v>
      </c>
      <c r="F44" s="28">
        <f>F38/'Balance Sheet'!F27</f>
        <v>2.6217704450245889</v>
      </c>
      <c r="G44" s="28">
        <f>G38/'Balance Sheet'!G27</f>
        <v>3.9469345493194363</v>
      </c>
      <c r="H44" s="28">
        <f>H38/'Balance Sheet'!H27</f>
        <v>4.1281840657106459</v>
      </c>
      <c r="I44" s="28">
        <f>I38/'Balance Sheet'!I27</f>
        <v>4.0540634603900543</v>
      </c>
      <c r="J44" s="28">
        <f>J38/'Balance Sheet'!J27</f>
        <v>4.6260334905880702</v>
      </c>
      <c r="K44" s="28">
        <f>K38/'Balance Sheet'!K27</f>
        <v>3.7640978014316309</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customWidth="1"/>
    <col min="2" max="11" width="13.44140625" bestFit="1" customWidth="1"/>
  </cols>
  <sheetData>
    <row r="1" spans="1:11" s="2" customFormat="1" x14ac:dyDescent="0.3">
      <c r="A1" s="2" t="str">
        <f>'Profit &amp; Loss'!A1</f>
        <v>MARUTI SUZUKI INDIA LTD</v>
      </c>
      <c r="E1" t="str">
        <f>UPDATE</f>
        <v/>
      </c>
      <c r="J1" s="2" t="s">
        <v>1</v>
      </c>
    </row>
    <row r="3" spans="1:11" s="2" customFormat="1" x14ac:dyDescent="0.3">
      <c r="A3" s="11" t="s">
        <v>2</v>
      </c>
      <c r="B3" s="12">
        <f>'Data Sheet'!B41</f>
        <v>45199</v>
      </c>
      <c r="C3" s="12">
        <f>'Data Sheet'!C41</f>
        <v>45291</v>
      </c>
      <c r="D3" s="12">
        <f>'Data Sheet'!D41</f>
        <v>45382</v>
      </c>
      <c r="E3" s="12">
        <f>'Data Sheet'!E41</f>
        <v>45473</v>
      </c>
      <c r="F3" s="12">
        <f>'Data Sheet'!F41</f>
        <v>45565</v>
      </c>
      <c r="G3" s="12">
        <f>'Data Sheet'!G41</f>
        <v>45657</v>
      </c>
      <c r="H3" s="12">
        <f>'Data Sheet'!H41</f>
        <v>45747</v>
      </c>
      <c r="I3" s="12">
        <f>'Data Sheet'!I41</f>
        <v>45838</v>
      </c>
      <c r="J3" s="12">
        <f>'Data Sheet'!J41</f>
        <v>45930</v>
      </c>
      <c r="K3" s="12">
        <f>'Data Sheet'!K41</f>
        <v>46022</v>
      </c>
    </row>
    <row r="4" spans="1:11" s="2" customFormat="1" x14ac:dyDescent="0.3">
      <c r="A4" s="2" t="s">
        <v>6</v>
      </c>
      <c r="B4" s="1">
        <f>'Data Sheet'!B42</f>
        <v>37339.4</v>
      </c>
      <c r="C4" s="1">
        <f>'Data Sheet'!C42</f>
        <v>33512.800000000003</v>
      </c>
      <c r="D4" s="1">
        <f>'Data Sheet'!D42</f>
        <v>38471.199999999997</v>
      </c>
      <c r="E4" s="1">
        <f>'Data Sheet'!E42</f>
        <v>35779.4</v>
      </c>
      <c r="F4" s="1">
        <f>'Data Sheet'!F42</f>
        <v>37449.199999999997</v>
      </c>
      <c r="G4" s="1">
        <f>'Data Sheet'!G42</f>
        <v>38764.300000000003</v>
      </c>
      <c r="H4" s="1">
        <f>'Data Sheet'!H42</f>
        <v>40920.1</v>
      </c>
      <c r="I4" s="1">
        <f>'Data Sheet'!I42</f>
        <v>38605.199999999997</v>
      </c>
      <c r="J4" s="1">
        <f>'Data Sheet'!J42</f>
        <v>42344.2</v>
      </c>
      <c r="K4" s="1">
        <f>'Data Sheet'!K42</f>
        <v>49904.1</v>
      </c>
    </row>
    <row r="5" spans="1:11" x14ac:dyDescent="0.3">
      <c r="A5" t="s">
        <v>7</v>
      </c>
      <c r="B5" s="6">
        <f>'Data Sheet'!B43</f>
        <v>32027.9</v>
      </c>
      <c r="C5" s="6">
        <f>'Data Sheet'!C43</f>
        <v>29072.799999999999</v>
      </c>
      <c r="D5" s="6">
        <f>'Data Sheet'!D43</f>
        <v>33250.1</v>
      </c>
      <c r="E5" s="6">
        <f>'Data Sheet'!E43</f>
        <v>30672.799999999999</v>
      </c>
      <c r="F5" s="6">
        <f>'Data Sheet'!F43</f>
        <v>32450.400000000001</v>
      </c>
      <c r="G5" s="6">
        <f>'Data Sheet'!G43</f>
        <v>33687.800000000003</v>
      </c>
      <c r="H5" s="6">
        <f>'Data Sheet'!H43</f>
        <v>36076.1</v>
      </c>
      <c r="I5" s="6">
        <f>'Data Sheet'!I43</f>
        <v>33982.6</v>
      </c>
      <c r="J5" s="6">
        <f>'Data Sheet'!J43</f>
        <v>37258.199999999997</v>
      </c>
      <c r="K5" s="6">
        <f>'Data Sheet'!K43</f>
        <v>44331</v>
      </c>
    </row>
    <row r="6" spans="1:11" s="2" customFormat="1" x14ac:dyDescent="0.3">
      <c r="A6" s="2" t="s">
        <v>8</v>
      </c>
      <c r="B6" s="1">
        <f>'Data Sheet'!B50</f>
        <v>5311.5</v>
      </c>
      <c r="C6" s="1">
        <f>'Data Sheet'!C50</f>
        <v>4440</v>
      </c>
      <c r="D6" s="1">
        <f>'Data Sheet'!D50</f>
        <v>5221.1000000000004</v>
      </c>
      <c r="E6" s="1">
        <f>'Data Sheet'!E50</f>
        <v>5106.6000000000004</v>
      </c>
      <c r="F6" s="1">
        <f>'Data Sheet'!F50</f>
        <v>4998.8</v>
      </c>
      <c r="G6" s="1">
        <f>'Data Sheet'!G50</f>
        <v>5076.5</v>
      </c>
      <c r="H6" s="1">
        <f>'Data Sheet'!H50</f>
        <v>4844</v>
      </c>
      <c r="I6" s="1">
        <f>'Data Sheet'!I50</f>
        <v>4622.6000000000004</v>
      </c>
      <c r="J6" s="1">
        <f>'Data Sheet'!J50</f>
        <v>5086</v>
      </c>
      <c r="K6" s="1">
        <f>'Data Sheet'!K50</f>
        <v>5573.1</v>
      </c>
    </row>
    <row r="7" spans="1:11" x14ac:dyDescent="0.3">
      <c r="A7" t="s">
        <v>9</v>
      </c>
      <c r="B7" s="6">
        <f>'Data Sheet'!B44</f>
        <v>957.8</v>
      </c>
      <c r="C7" s="6">
        <f>'Data Sheet'!C44</f>
        <v>1052.9000000000001</v>
      </c>
      <c r="D7" s="6">
        <f>'Data Sheet'!D44</f>
        <v>1261</v>
      </c>
      <c r="E7" s="6">
        <f>'Data Sheet'!E44</f>
        <v>1118.0999999999999</v>
      </c>
      <c r="F7" s="6">
        <f>'Data Sheet'!F44</f>
        <v>1570.5</v>
      </c>
      <c r="G7" s="6">
        <f>'Data Sheet'!G44</f>
        <v>1124.8</v>
      </c>
      <c r="H7" s="6">
        <f>'Data Sheet'!H44</f>
        <v>1583.1</v>
      </c>
      <c r="I7" s="6">
        <f>'Data Sheet'!I44</f>
        <v>1923.7</v>
      </c>
      <c r="J7" s="6">
        <f>'Data Sheet'!J44</f>
        <v>1013.5</v>
      </c>
      <c r="K7" s="6">
        <f>'Data Sheet'!K44</f>
        <v>1140.5</v>
      </c>
    </row>
    <row r="8" spans="1:11" x14ac:dyDescent="0.3">
      <c r="A8" t="s">
        <v>10</v>
      </c>
      <c r="B8" s="6">
        <f>'Data Sheet'!B45</f>
        <v>1341.9</v>
      </c>
      <c r="C8" s="6">
        <f>'Data Sheet'!C45</f>
        <v>1301.5</v>
      </c>
      <c r="D8" s="6">
        <f>'Data Sheet'!D45</f>
        <v>1298.3</v>
      </c>
      <c r="E8" s="6">
        <f>'Data Sheet'!E45</f>
        <v>1331.7</v>
      </c>
      <c r="F8" s="6">
        <f>'Data Sheet'!F45</f>
        <v>1385.7</v>
      </c>
      <c r="G8" s="6">
        <f>'Data Sheet'!G45</f>
        <v>1429</v>
      </c>
      <c r="H8" s="6">
        <f>'Data Sheet'!H45</f>
        <v>1461.8</v>
      </c>
      <c r="I8" s="6">
        <f>'Data Sheet'!I45</f>
        <v>1556</v>
      </c>
      <c r="J8" s="6">
        <f>'Data Sheet'!J45</f>
        <v>1703</v>
      </c>
      <c r="K8" s="6">
        <f>'Data Sheet'!K45</f>
        <v>1734.6</v>
      </c>
    </row>
    <row r="9" spans="1:11" x14ac:dyDescent="0.3">
      <c r="A9" t="s">
        <v>11</v>
      </c>
      <c r="B9" s="6">
        <f>'Data Sheet'!B46</f>
        <v>35.1</v>
      </c>
      <c r="C9" s="6">
        <f>'Data Sheet'!C46</f>
        <v>35.799999999999997</v>
      </c>
      <c r="D9" s="6">
        <f>'Data Sheet'!D46</f>
        <v>76.2</v>
      </c>
      <c r="E9" s="6">
        <f>'Data Sheet'!E46</f>
        <v>57.3</v>
      </c>
      <c r="F9" s="6">
        <f>'Data Sheet'!F46</f>
        <v>43</v>
      </c>
      <c r="G9" s="6">
        <f>'Data Sheet'!G46</f>
        <v>46.3</v>
      </c>
      <c r="H9" s="6">
        <f>'Data Sheet'!H46</f>
        <v>47.6</v>
      </c>
      <c r="I9" s="6">
        <f>'Data Sheet'!I46</f>
        <v>46.8</v>
      </c>
      <c r="J9" s="6">
        <f>'Data Sheet'!J46</f>
        <v>57.2</v>
      </c>
      <c r="K9" s="6">
        <f>'Data Sheet'!K46</f>
        <v>61.7</v>
      </c>
    </row>
    <row r="10" spans="1:11" x14ac:dyDescent="0.3">
      <c r="A10" t="s">
        <v>12</v>
      </c>
      <c r="B10" s="6">
        <f>'Data Sheet'!B47</f>
        <v>4892.3</v>
      </c>
      <c r="C10" s="6">
        <f>'Data Sheet'!C47</f>
        <v>4155.6000000000004</v>
      </c>
      <c r="D10" s="6">
        <f>'Data Sheet'!D47</f>
        <v>5107.6000000000004</v>
      </c>
      <c r="E10" s="6">
        <f>'Data Sheet'!E47</f>
        <v>4835.7</v>
      </c>
      <c r="F10" s="6">
        <f>'Data Sheet'!F47</f>
        <v>5140.6000000000004</v>
      </c>
      <c r="G10" s="6">
        <f>'Data Sheet'!G47</f>
        <v>4726</v>
      </c>
      <c r="H10" s="6">
        <f>'Data Sheet'!H47</f>
        <v>4917.7</v>
      </c>
      <c r="I10" s="6">
        <f>'Data Sheet'!I47</f>
        <v>4943.5</v>
      </c>
      <c r="J10" s="6">
        <f>'Data Sheet'!J47</f>
        <v>4339.3</v>
      </c>
      <c r="K10" s="6">
        <f>'Data Sheet'!K47</f>
        <v>4917.3</v>
      </c>
    </row>
    <row r="11" spans="1:11" x14ac:dyDescent="0.3">
      <c r="A11" t="s">
        <v>13</v>
      </c>
      <c r="B11" s="6">
        <f>'Data Sheet'!B48</f>
        <v>1106.0999999999999</v>
      </c>
      <c r="C11" s="6">
        <f>'Data Sheet'!C48</f>
        <v>948.8</v>
      </c>
      <c r="D11" s="6">
        <f>'Data Sheet'!D48</f>
        <v>1155.3</v>
      </c>
      <c r="E11" s="6">
        <f>'Data Sheet'!E48</f>
        <v>1076</v>
      </c>
      <c r="F11" s="6">
        <f>'Data Sheet'!F48</f>
        <v>2038.1</v>
      </c>
      <c r="G11" s="6">
        <f>'Data Sheet'!G48</f>
        <v>999.1</v>
      </c>
      <c r="H11" s="6">
        <f>'Data Sheet'!H48</f>
        <v>1006.6</v>
      </c>
      <c r="I11" s="6">
        <f>'Data Sheet'!I48</f>
        <v>1151.0999999999999</v>
      </c>
      <c r="J11" s="6">
        <f>'Data Sheet'!J48</f>
        <v>990.3</v>
      </c>
      <c r="K11" s="6">
        <f>'Data Sheet'!K48</f>
        <v>1038.2</v>
      </c>
    </row>
    <row r="12" spans="1:11" s="2" customFormat="1" x14ac:dyDescent="0.3">
      <c r="A12" s="2" t="s">
        <v>14</v>
      </c>
      <c r="B12" s="1">
        <f>'Data Sheet'!B49</f>
        <v>3786.2</v>
      </c>
      <c r="C12" s="1">
        <f>'Data Sheet'!C49</f>
        <v>3206.8</v>
      </c>
      <c r="D12" s="1">
        <f>'Data Sheet'!D49</f>
        <v>3952.3</v>
      </c>
      <c r="E12" s="1">
        <f>'Data Sheet'!E49</f>
        <v>3759.7</v>
      </c>
      <c r="F12" s="1">
        <f>'Data Sheet'!F49</f>
        <v>3102.5</v>
      </c>
      <c r="G12" s="1">
        <f>'Data Sheet'!G49</f>
        <v>3726.9</v>
      </c>
      <c r="H12" s="1">
        <f>'Data Sheet'!H49</f>
        <v>3911.1</v>
      </c>
      <c r="I12" s="1">
        <f>'Data Sheet'!I49</f>
        <v>3792.4</v>
      </c>
      <c r="J12" s="1">
        <f>'Data Sheet'!J49</f>
        <v>3349</v>
      </c>
      <c r="K12" s="1">
        <f>'Data Sheet'!K49</f>
        <v>3879.1</v>
      </c>
    </row>
    <row r="14" spans="1:11" s="2" customFormat="1" x14ac:dyDescent="0.3">
      <c r="A14" s="2" t="s">
        <v>18</v>
      </c>
      <c r="B14" s="10">
        <f>IF(B4&gt;0,B6/B4,"")</f>
        <v>0.14224920593260737</v>
      </c>
      <c r="C14" s="10">
        <f t="shared" ref="C14:K14" si="0">IF(C4&gt;0,C6/C4,"")</f>
        <v>0.13248669165214483</v>
      </c>
      <c r="D14" s="10">
        <f t="shared" si="0"/>
        <v>0.13571450851546094</v>
      </c>
      <c r="E14" s="10">
        <f t="shared" si="0"/>
        <v>0.14272458453747128</v>
      </c>
      <c r="F14" s="10">
        <f t="shared" si="0"/>
        <v>0.1334821571622358</v>
      </c>
      <c r="G14" s="10">
        <f t="shared" si="0"/>
        <v>0.13095812384075037</v>
      </c>
      <c r="H14" s="10">
        <f t="shared" si="0"/>
        <v>0.11837703231419279</v>
      </c>
      <c r="I14" s="10">
        <f t="shared" si="0"/>
        <v>0.1197403458601432</v>
      </c>
      <c r="J14" s="10">
        <f t="shared" si="0"/>
        <v>0.12011090066644312</v>
      </c>
      <c r="K14" s="10">
        <f t="shared" si="0"/>
        <v>0.11167619494189857</v>
      </c>
    </row>
    <row r="22" s="23"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7"/>
  <sheetViews>
    <sheetView zoomScale="125" workbookViewId="0">
      <pane xSplit="1" ySplit="3" topLeftCell="B16" activePane="bottomRight" state="frozen"/>
      <selection activeCell="C4" sqref="C4"/>
      <selection pane="topRight" activeCell="C4" sqref="C4"/>
      <selection pane="bottomLeft" activeCell="C4" sqref="C4"/>
      <selection pane="bottomRight" activeCell="B27" sqref="B27:K27"/>
    </sheetView>
  </sheetViews>
  <sheetFormatPr defaultColWidth="8.77734375" defaultRowHeight="14.4" x14ac:dyDescent="0.3"/>
  <cols>
    <col min="1" max="1" width="22.77734375" bestFit="1" customWidth="1"/>
    <col min="2" max="2" width="13.44140625" customWidth="1"/>
    <col min="3" max="11" width="15.44140625" customWidth="1"/>
  </cols>
  <sheetData>
    <row r="1" spans="1:11" s="2" customFormat="1" x14ac:dyDescent="0.3">
      <c r="A1" s="2" t="str">
        <f>'Profit &amp; Loss'!A1</f>
        <v>MARUTI SUZUKI INDIA LTD</v>
      </c>
      <c r="E1" t="str">
        <f>UPDATE</f>
        <v/>
      </c>
      <c r="G1"/>
      <c r="J1" s="2" t="s">
        <v>1</v>
      </c>
    </row>
    <row r="2" spans="1:11" x14ac:dyDescent="0.3">
      <c r="G2" s="2"/>
      <c r="H2" s="2"/>
    </row>
    <row r="3" spans="1:11" x14ac:dyDescent="0.3">
      <c r="A3" s="11" t="s">
        <v>2</v>
      </c>
      <c r="B3" s="12">
        <f>'Data Sheet'!B56</f>
        <v>42460</v>
      </c>
      <c r="C3" s="12">
        <f>'Data Sheet'!C56</f>
        <v>42825</v>
      </c>
      <c r="D3" s="12">
        <f>'Data Sheet'!D56</f>
        <v>43190</v>
      </c>
      <c r="E3" s="12">
        <f>'Data Sheet'!E56</f>
        <v>43555</v>
      </c>
      <c r="F3" s="12">
        <f>'Data Sheet'!F56</f>
        <v>43921</v>
      </c>
      <c r="G3" s="12">
        <f>'Data Sheet'!G56</f>
        <v>44286</v>
      </c>
      <c r="H3" s="12">
        <f>'Data Sheet'!H56</f>
        <v>44651</v>
      </c>
      <c r="I3" s="12">
        <f>'Data Sheet'!I56</f>
        <v>45016</v>
      </c>
      <c r="J3" s="12">
        <f>'Data Sheet'!J56</f>
        <v>45382</v>
      </c>
      <c r="K3" s="12">
        <f>'Data Sheet'!K56</f>
        <v>45747</v>
      </c>
    </row>
    <row r="4" spans="1:11" x14ac:dyDescent="0.3">
      <c r="A4" t="s">
        <v>24</v>
      </c>
      <c r="B4" s="14">
        <f>'Data Sheet'!B57</f>
        <v>151</v>
      </c>
      <c r="C4" s="14">
        <f>'Data Sheet'!C57</f>
        <v>151</v>
      </c>
      <c r="D4" s="14">
        <f>'Data Sheet'!D57</f>
        <v>151</v>
      </c>
      <c r="E4" s="14">
        <f>'Data Sheet'!E57</f>
        <v>151</v>
      </c>
      <c r="F4" s="14">
        <f>'Data Sheet'!F57</f>
        <v>151</v>
      </c>
      <c r="G4" s="14">
        <f>'Data Sheet'!G57</f>
        <v>151</v>
      </c>
      <c r="H4" s="14">
        <f>'Data Sheet'!H57</f>
        <v>151</v>
      </c>
      <c r="I4" s="14">
        <f>'Data Sheet'!I57</f>
        <v>151</v>
      </c>
      <c r="J4" s="14">
        <f>'Data Sheet'!J57</f>
        <v>157.19999999999999</v>
      </c>
      <c r="K4" s="14">
        <f>'Data Sheet'!K57</f>
        <v>157.19999999999999</v>
      </c>
    </row>
    <row r="5" spans="1:11" x14ac:dyDescent="0.3">
      <c r="A5" t="s">
        <v>25</v>
      </c>
      <c r="B5" s="14">
        <f>'Data Sheet'!B58</f>
        <v>30465</v>
      </c>
      <c r="C5" s="14">
        <f>'Data Sheet'!C58</f>
        <v>36924.1</v>
      </c>
      <c r="D5" s="14">
        <f>'Data Sheet'!D58</f>
        <v>42408.4</v>
      </c>
      <c r="E5" s="14">
        <f>'Data Sheet'!E58</f>
        <v>46941.1</v>
      </c>
      <c r="F5" s="14">
        <f>'Data Sheet'!F58</f>
        <v>49262</v>
      </c>
      <c r="G5" s="14">
        <f>'Data Sheet'!G58</f>
        <v>52349.599999999999</v>
      </c>
      <c r="H5" s="14">
        <f>'Data Sheet'!H58</f>
        <v>55182.5</v>
      </c>
      <c r="I5" s="14">
        <f>'Data Sheet'!I58</f>
        <v>61640.3</v>
      </c>
      <c r="J5" s="14">
        <f>'Data Sheet'!J58</f>
        <v>85478.8</v>
      </c>
      <c r="K5" s="14">
        <f>'Data Sheet'!K58</f>
        <v>96082.7</v>
      </c>
    </row>
    <row r="6" spans="1:11" x14ac:dyDescent="0.3">
      <c r="A6" t="s">
        <v>71</v>
      </c>
      <c r="B6" s="14">
        <f>'Data Sheet'!B59</f>
        <v>230.9</v>
      </c>
      <c r="C6" s="14">
        <f>'Data Sheet'!C59</f>
        <v>483.6</v>
      </c>
      <c r="D6" s="14">
        <f>'Data Sheet'!D59</f>
        <v>120.8</v>
      </c>
      <c r="E6" s="14">
        <f>'Data Sheet'!E59</f>
        <v>159.6</v>
      </c>
      <c r="F6" s="14">
        <f>'Data Sheet'!F59</f>
        <v>184.1</v>
      </c>
      <c r="G6" s="14">
        <f>'Data Sheet'!G59</f>
        <v>540.9</v>
      </c>
      <c r="H6" s="14">
        <f>'Data Sheet'!H59</f>
        <v>425.5</v>
      </c>
      <c r="I6" s="14">
        <f>'Data Sheet'!I59</f>
        <v>1247.3</v>
      </c>
      <c r="J6" s="14">
        <f>'Data Sheet'!J59</f>
        <v>118.6</v>
      </c>
      <c r="K6" s="14">
        <f>'Data Sheet'!K59</f>
        <v>87</v>
      </c>
    </row>
    <row r="7" spans="1:11" x14ac:dyDescent="0.3">
      <c r="A7" t="s">
        <v>72</v>
      </c>
      <c r="B7" s="14">
        <f>'Data Sheet'!B60</f>
        <v>11878.6</v>
      </c>
      <c r="C7" s="14">
        <f>'Data Sheet'!C60</f>
        <v>14401.8</v>
      </c>
      <c r="D7" s="14">
        <f>'Data Sheet'!D60</f>
        <v>17568.2</v>
      </c>
      <c r="E7" s="14">
        <f>'Data Sheet'!E60</f>
        <v>16717</v>
      </c>
      <c r="F7" s="14">
        <f>'Data Sheet'!F60</f>
        <v>14030.6</v>
      </c>
      <c r="G7" s="14">
        <f>'Data Sheet'!G60</f>
        <v>18334.599999999999</v>
      </c>
      <c r="H7" s="14">
        <f>'Data Sheet'!H60</f>
        <v>18896.5</v>
      </c>
      <c r="I7" s="14">
        <f>'Data Sheet'!I60</f>
        <v>21558.3</v>
      </c>
      <c r="J7" s="14">
        <f>'Data Sheet'!J60</f>
        <v>29549.5</v>
      </c>
      <c r="K7" s="14">
        <f>'Data Sheet'!K60</f>
        <v>35644.300000000003</v>
      </c>
    </row>
    <row r="8" spans="1:11" s="2" customFormat="1" x14ac:dyDescent="0.3">
      <c r="A8" s="2" t="s">
        <v>26</v>
      </c>
      <c r="B8" s="15">
        <f>'Data Sheet'!B61</f>
        <v>42725.5</v>
      </c>
      <c r="C8" s="15">
        <f>'Data Sheet'!C61</f>
        <v>51960.5</v>
      </c>
      <c r="D8" s="15">
        <f>'Data Sheet'!D61</f>
        <v>60248.4</v>
      </c>
      <c r="E8" s="15">
        <f>'Data Sheet'!E61</f>
        <v>63968.7</v>
      </c>
      <c r="F8" s="15">
        <f>'Data Sheet'!F61</f>
        <v>63627.7</v>
      </c>
      <c r="G8" s="15">
        <f>'Data Sheet'!G61</f>
        <v>71376.100000000006</v>
      </c>
      <c r="H8" s="15">
        <f>'Data Sheet'!H61</f>
        <v>74655.5</v>
      </c>
      <c r="I8" s="15">
        <f>'Data Sheet'!I61</f>
        <v>84596.9</v>
      </c>
      <c r="J8" s="15">
        <f>'Data Sheet'!J61</f>
        <v>115304.1</v>
      </c>
      <c r="K8" s="15">
        <f>'Data Sheet'!K61</f>
        <v>131971.20000000001</v>
      </c>
    </row>
    <row r="9" spans="1:11" s="2" customFormat="1" x14ac:dyDescent="0.3">
      <c r="B9" s="15"/>
      <c r="C9" s="15"/>
      <c r="D9" s="15"/>
      <c r="E9" s="15"/>
      <c r="F9" s="15"/>
      <c r="G9" s="15"/>
      <c r="H9" s="15"/>
      <c r="I9" s="15"/>
      <c r="J9" s="15"/>
      <c r="K9" s="15"/>
    </row>
    <row r="10" spans="1:11" x14ac:dyDescent="0.3">
      <c r="A10" t="s">
        <v>27</v>
      </c>
      <c r="B10" s="14">
        <f>'Data Sheet'!B62</f>
        <v>12529.6</v>
      </c>
      <c r="C10" s="14">
        <f>'Data Sheet'!C62</f>
        <v>13310.7</v>
      </c>
      <c r="D10" s="14">
        <f>'Data Sheet'!D62</f>
        <v>13388.8</v>
      </c>
      <c r="E10" s="14">
        <f>'Data Sheet'!E62</f>
        <v>15437.3</v>
      </c>
      <c r="F10" s="14">
        <f>'Data Sheet'!F62</f>
        <v>15744.4</v>
      </c>
      <c r="G10" s="14">
        <f>'Data Sheet'!G62</f>
        <v>14988.7</v>
      </c>
      <c r="H10" s="14">
        <f>'Data Sheet'!H62</f>
        <v>13747.2</v>
      </c>
      <c r="I10" s="14">
        <f>'Data Sheet'!I62</f>
        <v>17830.400000000001</v>
      </c>
      <c r="J10" s="14">
        <f>'Data Sheet'!J62</f>
        <v>27864.799999999999</v>
      </c>
      <c r="K10" s="14">
        <f>'Data Sheet'!K62</f>
        <v>32982.699999999997</v>
      </c>
    </row>
    <row r="11" spans="1:11" x14ac:dyDescent="0.3">
      <c r="A11" t="s">
        <v>28</v>
      </c>
      <c r="B11" s="14">
        <f>'Data Sheet'!B63</f>
        <v>1006.9</v>
      </c>
      <c r="C11" s="14">
        <f>'Data Sheet'!C63</f>
        <v>1252.3</v>
      </c>
      <c r="D11" s="14">
        <f>'Data Sheet'!D63</f>
        <v>2132.1</v>
      </c>
      <c r="E11" s="14">
        <f>'Data Sheet'!E63</f>
        <v>1606.9</v>
      </c>
      <c r="F11" s="14">
        <f>'Data Sheet'!F63</f>
        <v>1415.2</v>
      </c>
      <c r="G11" s="14">
        <f>'Data Sheet'!G63</f>
        <v>1496.8</v>
      </c>
      <c r="H11" s="14">
        <f>'Data Sheet'!H63</f>
        <v>2936.5</v>
      </c>
      <c r="I11" s="14">
        <f>'Data Sheet'!I63</f>
        <v>2904.1</v>
      </c>
      <c r="J11" s="14">
        <f>'Data Sheet'!J63</f>
        <v>7734.8</v>
      </c>
      <c r="K11" s="14">
        <f>'Data Sheet'!K63</f>
        <v>7929</v>
      </c>
    </row>
    <row r="12" spans="1:11" x14ac:dyDescent="0.3">
      <c r="A12" t="s">
        <v>29</v>
      </c>
      <c r="B12" s="14">
        <f>'Data Sheet'!B64</f>
        <v>20675.8</v>
      </c>
      <c r="C12" s="14">
        <f>'Data Sheet'!C64</f>
        <v>29150.6</v>
      </c>
      <c r="D12" s="14">
        <f>'Data Sheet'!D64</f>
        <v>36123.1</v>
      </c>
      <c r="E12" s="14">
        <f>'Data Sheet'!E64</f>
        <v>37503.599999999999</v>
      </c>
      <c r="F12" s="14">
        <f>'Data Sheet'!F64</f>
        <v>37488</v>
      </c>
      <c r="G12" s="14">
        <f>'Data Sheet'!G64</f>
        <v>42944.800000000003</v>
      </c>
      <c r="H12" s="14">
        <f>'Data Sheet'!H64</f>
        <v>42034.7</v>
      </c>
      <c r="I12" s="14">
        <f>'Data Sheet'!I64</f>
        <v>49184.3</v>
      </c>
      <c r="J12" s="14">
        <f>'Data Sheet'!J64</f>
        <v>57296</v>
      </c>
      <c r="K12" s="14">
        <f>'Data Sheet'!K64</f>
        <v>66265.399999999994</v>
      </c>
    </row>
    <row r="13" spans="1:11" x14ac:dyDescent="0.3">
      <c r="A13" t="s">
        <v>73</v>
      </c>
      <c r="B13" s="14">
        <f>'Data Sheet'!B65</f>
        <v>8513.2000000000007</v>
      </c>
      <c r="C13" s="14">
        <f>'Data Sheet'!C65</f>
        <v>8246.9</v>
      </c>
      <c r="D13" s="14">
        <f>'Data Sheet'!D65</f>
        <v>8604.4</v>
      </c>
      <c r="E13" s="14">
        <f>'Data Sheet'!E65</f>
        <v>9420.9</v>
      </c>
      <c r="F13" s="14">
        <f>'Data Sheet'!F65</f>
        <v>8980.1</v>
      </c>
      <c r="G13" s="14">
        <f>'Data Sheet'!G65</f>
        <v>11945.8</v>
      </c>
      <c r="H13" s="14">
        <f>'Data Sheet'!H65</f>
        <v>15937.1</v>
      </c>
      <c r="I13" s="14">
        <f>'Data Sheet'!I65</f>
        <v>14678.1</v>
      </c>
      <c r="J13" s="14">
        <f>'Data Sheet'!J65</f>
        <v>22408.5</v>
      </c>
      <c r="K13" s="14">
        <f>'Data Sheet'!K65</f>
        <v>24794.1</v>
      </c>
    </row>
    <row r="14" spans="1:11" s="2" customFormat="1" x14ac:dyDescent="0.3">
      <c r="A14" s="2" t="s">
        <v>26</v>
      </c>
      <c r="B14" s="14">
        <f>'Data Sheet'!B66</f>
        <v>42725.5</v>
      </c>
      <c r="C14" s="14">
        <f>'Data Sheet'!C66</f>
        <v>51960.5</v>
      </c>
      <c r="D14" s="14">
        <f>'Data Sheet'!D66</f>
        <v>60248.4</v>
      </c>
      <c r="E14" s="14">
        <f>'Data Sheet'!E66</f>
        <v>63968.7</v>
      </c>
      <c r="F14" s="14">
        <f>'Data Sheet'!F66</f>
        <v>63627.7</v>
      </c>
      <c r="G14" s="14">
        <f>'Data Sheet'!G66</f>
        <v>71376.100000000006</v>
      </c>
      <c r="H14" s="14">
        <f>'Data Sheet'!H66</f>
        <v>74655.5</v>
      </c>
      <c r="I14" s="14">
        <f>'Data Sheet'!I66</f>
        <v>84596.9</v>
      </c>
      <c r="J14" s="14">
        <f>'Data Sheet'!J66</f>
        <v>115304.1</v>
      </c>
      <c r="K14" s="14">
        <f>'Data Sheet'!K66</f>
        <v>131971.20000000001</v>
      </c>
    </row>
    <row r="15" spans="1:11" x14ac:dyDescent="0.3">
      <c r="B15" s="4"/>
      <c r="C15" s="4"/>
      <c r="D15" s="4"/>
      <c r="E15" s="4"/>
      <c r="F15" s="4"/>
      <c r="G15" s="4"/>
      <c r="H15" s="4"/>
      <c r="I15" s="4"/>
      <c r="J15" s="4"/>
      <c r="K15" s="4"/>
    </row>
    <row r="16" spans="1:11" x14ac:dyDescent="0.3">
      <c r="A16" t="s">
        <v>30</v>
      </c>
      <c r="B16" s="4">
        <f>B13-B7</f>
        <v>-3365.3999999999996</v>
      </c>
      <c r="C16" s="4">
        <f t="shared" ref="C16:K16" si="0">C13-C7</f>
        <v>-6154.9</v>
      </c>
      <c r="D16" s="4">
        <f t="shared" si="0"/>
        <v>-8963.8000000000011</v>
      </c>
      <c r="E16" s="4">
        <f t="shared" si="0"/>
        <v>-7296.1</v>
      </c>
      <c r="F16" s="4">
        <f t="shared" si="0"/>
        <v>-5050.5</v>
      </c>
      <c r="G16" s="4">
        <f t="shared" si="0"/>
        <v>-6388.7999999999993</v>
      </c>
      <c r="H16" s="4">
        <f t="shared" si="0"/>
        <v>-2959.3999999999996</v>
      </c>
      <c r="I16" s="4">
        <f t="shared" si="0"/>
        <v>-6880.1999999999989</v>
      </c>
      <c r="J16" s="4">
        <f t="shared" si="0"/>
        <v>-7141</v>
      </c>
      <c r="K16" s="4">
        <f t="shared" si="0"/>
        <v>-10850.200000000004</v>
      </c>
    </row>
    <row r="17" spans="1:11" x14ac:dyDescent="0.3">
      <c r="A17" t="s">
        <v>44</v>
      </c>
      <c r="B17" s="4">
        <f>'Data Sheet'!B67</f>
        <v>1323.4</v>
      </c>
      <c r="C17" s="4">
        <f>'Data Sheet'!C67</f>
        <v>1202.5999999999999</v>
      </c>
      <c r="D17" s="4">
        <f>'Data Sheet'!D67</f>
        <v>1465.4</v>
      </c>
      <c r="E17" s="4">
        <f>'Data Sheet'!E67</f>
        <v>2312.8000000000002</v>
      </c>
      <c r="F17" s="4">
        <f>'Data Sheet'!F67</f>
        <v>1977.7</v>
      </c>
      <c r="G17" s="4">
        <f>'Data Sheet'!G67</f>
        <v>1279.9000000000001</v>
      </c>
      <c r="H17" s="4">
        <f>'Data Sheet'!H67</f>
        <v>2034.5</v>
      </c>
      <c r="I17" s="4">
        <f>'Data Sheet'!I67</f>
        <v>3301.4</v>
      </c>
      <c r="J17" s="4">
        <f>'Data Sheet'!J67</f>
        <v>4596.8</v>
      </c>
      <c r="K17" s="4">
        <f>'Data Sheet'!K67</f>
        <v>6539.7</v>
      </c>
    </row>
    <row r="18" spans="1:11" x14ac:dyDescent="0.3">
      <c r="A18" t="s">
        <v>45</v>
      </c>
      <c r="B18" s="4">
        <f>'Data Sheet'!B68</f>
        <v>3132.6</v>
      </c>
      <c r="C18" s="4">
        <f>'Data Sheet'!C68</f>
        <v>3263.7</v>
      </c>
      <c r="D18" s="4">
        <f>'Data Sheet'!D68</f>
        <v>3160.2</v>
      </c>
      <c r="E18" s="4">
        <f>'Data Sheet'!E68</f>
        <v>3322.6</v>
      </c>
      <c r="F18" s="4">
        <f>'Data Sheet'!F68</f>
        <v>3213.9</v>
      </c>
      <c r="G18" s="4">
        <f>'Data Sheet'!G68</f>
        <v>3049</v>
      </c>
      <c r="H18" s="4">
        <f>'Data Sheet'!H68</f>
        <v>3532.3</v>
      </c>
      <c r="I18" s="4">
        <f>'Data Sheet'!I68</f>
        <v>4283.5</v>
      </c>
      <c r="J18" s="4">
        <f>'Data Sheet'!J68</f>
        <v>5318.1</v>
      </c>
      <c r="K18" s="4">
        <f>'Data Sheet'!K68</f>
        <v>6913.2</v>
      </c>
    </row>
    <row r="20" spans="1:11" x14ac:dyDescent="0.3">
      <c r="A20" t="s">
        <v>46</v>
      </c>
      <c r="B20" s="4">
        <f>IF('Profit &amp; Loss'!B4&gt;0,'Balance Sheet'!B17/('Profit &amp; Loss'!B4/365),0)</f>
        <v>8.3877302957161977</v>
      </c>
      <c r="C20" s="4">
        <f>IF('Profit &amp; Loss'!C4&gt;0,'Balance Sheet'!C17/('Profit &amp; Loss'!C4/365),0)</f>
        <v>6.44707351105236</v>
      </c>
      <c r="D20" s="4">
        <f>IF('Profit &amp; Loss'!D4&gt;0,'Balance Sheet'!D17/('Profit &amp; Loss'!D4/365),0)</f>
        <v>6.7018546687482941</v>
      </c>
      <c r="E20" s="4">
        <f>IF('Profit &amp; Loss'!E4&gt;0,'Balance Sheet'!E17/('Profit &amp; Loss'!E4/365),0)</f>
        <v>9.8081411898662108</v>
      </c>
      <c r="F20" s="4">
        <f>IF('Profit &amp; Loss'!F4&gt;0,'Balance Sheet'!F17/('Profit &amp; Loss'!F4/365),0)</f>
        <v>9.5408472112080371</v>
      </c>
      <c r="G20" s="4">
        <f>IF('Profit &amp; Loss'!G4&gt;0,'Balance Sheet'!G17/('Profit &amp; Loss'!G4/365),0)</f>
        <v>6.6384854771784232</v>
      </c>
      <c r="H20" s="4">
        <f>IF('Profit &amp; Loss'!H4&gt;0,'Balance Sheet'!H17/('Profit &amp; Loss'!H4/365),0)</f>
        <v>8.4070438289229692</v>
      </c>
      <c r="I20" s="4">
        <f>IF('Profit &amp; Loss'!I4&gt;0,'Balance Sheet'!I17/('Profit &amp; Loss'!I4/365),0)</f>
        <v>10.249193468133805</v>
      </c>
      <c r="J20" s="4">
        <f>IF('Profit &amp; Loss'!J4&gt;0,'Balance Sheet'!J17/('Profit &amp; Loss'!J4/365),0)</f>
        <v>11.827529180547899</v>
      </c>
      <c r="K20" s="4">
        <f>IF('Profit &amp; Loss'!K4&gt;0,'Balance Sheet'!K17/('Profit &amp; Loss'!K4/365),0)</f>
        <v>15.610121441604049</v>
      </c>
    </row>
    <row r="21" spans="1:11" x14ac:dyDescent="0.3">
      <c r="A21" t="s">
        <v>47</v>
      </c>
      <c r="B21" s="4">
        <f>IF('Balance Sheet'!B18&gt;0,'Profit &amp; Loss'!B4/'Balance Sheet'!B18,0)</f>
        <v>18.383770669731213</v>
      </c>
      <c r="C21" s="4">
        <f>IF('Balance Sheet'!C18&gt;0,'Profit &amp; Loss'!C4/'Balance Sheet'!C18,0)</f>
        <v>20.861292398198366</v>
      </c>
      <c r="D21" s="4">
        <f>IF('Balance Sheet'!D18&gt;0,'Profit &amp; Loss'!D4/'Balance Sheet'!D18,0)</f>
        <v>25.254540851844819</v>
      </c>
      <c r="E21" s="4">
        <f>IF('Balance Sheet'!E18&gt;0,'Profit &amp; Loss'!E4/'Balance Sheet'!E18,0)</f>
        <v>25.903960753626677</v>
      </c>
      <c r="F21" s="4">
        <f>IF('Balance Sheet'!F18&gt;0,'Profit &amp; Loss'!F4/'Balance Sheet'!F18,0)</f>
        <v>23.541491645664145</v>
      </c>
      <c r="G21" s="4">
        <f>IF('Balance Sheet'!G18&gt;0,'Profit &amp; Loss'!G4/'Balance Sheet'!G18,0)</f>
        <v>23.080354214496555</v>
      </c>
      <c r="H21" s="4">
        <f>IF('Balance Sheet'!H18&gt;0,'Profit &amp; Loss'!H4/'Balance Sheet'!H18,0)</f>
        <v>25.006313167058291</v>
      </c>
      <c r="I21" s="4">
        <f>IF('Balance Sheet'!I18&gt;0,'Profit &amp; Loss'!I4/'Balance Sheet'!I18,0)</f>
        <v>27.447484533675734</v>
      </c>
      <c r="J21" s="4">
        <f>IF('Balance Sheet'!J18&gt;0,'Profit &amp; Loss'!J4/'Balance Sheet'!J18,0)</f>
        <v>26.674601831481169</v>
      </c>
      <c r="K21" s="4">
        <f>IF('Balance Sheet'!K18&gt;0,'Profit &amp; Loss'!K4/'Balance Sheet'!K18,0)</f>
        <v>22.118989758722446</v>
      </c>
    </row>
    <row r="23" spans="1:11" s="2" customFormat="1" x14ac:dyDescent="0.3">
      <c r="A23" s="2" t="s">
        <v>59</v>
      </c>
      <c r="B23" s="10">
        <f>IF(SUM('Balance Sheet'!B4:B5)&gt;0,'Profit &amp; Loss'!B12/SUM('Balance Sheet'!B4:B5),"")</f>
        <v>0.17955317481055658</v>
      </c>
      <c r="C23" s="10">
        <f>IF(SUM('Balance Sheet'!C4:C5)&gt;0,'Profit &amp; Loss'!C12/SUM('Balance Sheet'!C4:C5),"")</f>
        <v>0.20255912998211736</v>
      </c>
      <c r="D23" s="10">
        <f>IF(SUM('Balance Sheet'!D4:D5)&gt;0,'Profit &amp; Loss'!D12/SUM('Balance Sheet'!D4:D5),"")</f>
        <v>0.18515298617931644</v>
      </c>
      <c r="E23" s="10">
        <f>IF(SUM('Balance Sheet'!E4:E5)&gt;0,'Profit &amp; Loss'!E12/SUM('Balance Sheet'!E4:E5),"")</f>
        <v>0.16242851773439707</v>
      </c>
      <c r="F23" s="10">
        <f>IF(SUM('Balance Sheet'!F4:F5)&gt;0,'Profit &amp; Loss'!F12/SUM('Balance Sheet'!F4:F5),"")</f>
        <v>0.11486855685750713</v>
      </c>
      <c r="G23" s="10">
        <f>IF(SUM('Balance Sheet'!G4:G5)&gt;0,'Profit &amp; Loss'!G12/SUM('Balance Sheet'!G4:G5),"")</f>
        <v>8.3600949322483936E-2</v>
      </c>
      <c r="H23" s="10">
        <f>IF(SUM('Balance Sheet'!H4:H5)&gt;0,'Profit &amp; Loss'!H12/SUM('Balance Sheet'!H4:H5),"")</f>
        <v>7.011123460471505E-2</v>
      </c>
      <c r="I23" s="10">
        <f>IF(SUM('Balance Sheet'!I4:I5)&gt;0,'Profit &amp; Loss'!I12/SUM('Balance Sheet'!I4:I5),"")</f>
        <v>0.13288278446965834</v>
      </c>
      <c r="J23" s="10">
        <f>IF(SUM('Balance Sheet'!J4:J5)&gt;0,'Profit &amp; Loss'!J12/SUM('Balance Sheet'!J4:J5),"")</f>
        <v>0.15750618898594049</v>
      </c>
      <c r="K23" s="10">
        <f>IF(SUM('Balance Sheet'!K4:K5)&gt;0,'Profit &amp; Loss'!K12/SUM('Balance Sheet'!K4:K5),"")</f>
        <v>0.15066723884792069</v>
      </c>
    </row>
    <row r="24" spans="1:11" s="2" customFormat="1" x14ac:dyDescent="0.3">
      <c r="A24" s="2" t="s">
        <v>60</v>
      </c>
      <c r="B24" s="10"/>
      <c r="C24" s="10">
        <f>IF((B4+B5+B6+C4+C5+C6)&gt;0,('Profit &amp; Loss'!C10+'Profit &amp; Loss'!C9)*2/(B4+B5+B6+C4+C5+C6),"")</f>
        <v>0.29870653864595881</v>
      </c>
      <c r="D24" s="10">
        <f>IF((C4+C5+C6+D4+D5+D6)&gt;0,('Profit &amp; Loss'!D10+'Profit &amp; Loss'!D9)*2/(C4+C5+C6+D4+D5+D6),"")</f>
        <v>0.28696056401570802</v>
      </c>
      <c r="E24" s="10">
        <f>IF((D4+D5+D6+E4+E5+E6)&gt;0,('Profit &amp; Loss'!E10+'Profit &amp; Loss'!E9)*2/(D4+D5+D6+E4+E5+E6),"")</f>
        <v>0.23795116082280032</v>
      </c>
      <c r="F24" s="10">
        <f>IF((E4+E5+E6+F4+F5+F6)&gt;0,('Profit &amp; Loss'!F10+'Profit &amp; Loss'!F9)*2/(E4+E5+E6+F4+F5+F6),"")</f>
        <v>0.14944945110316285</v>
      </c>
      <c r="G24" s="10">
        <f>IF((F4+F5+F6+G4+G5+G6)&gt;0,('Profit &amp; Loss'!G10+'Profit &amp; Loss'!G9)*2/(F4+F5+F6+G4+G5+G6),"")</f>
        <v>0.10566784815849009</v>
      </c>
      <c r="H24" s="10">
        <f>IF((G4+G5+G6+H4+H5+H6)&gt;0,('Profit &amp; Loss'!H10+'Profit &amp; Loss'!H9)*2/(G4+G5+G6+H4+H5+H6),"")</f>
        <v>8.8672386615870333E-2</v>
      </c>
      <c r="I24" s="10">
        <f>IF((H4+H5+H6+I4+I5+I6)&gt;0,('Profit &amp; Loss'!I10+'Profit &amp; Loss'!I9)*2/(H4+H5+H6+I4+I5+I6),"")</f>
        <v>0.17694128500912476</v>
      </c>
      <c r="J24" s="10">
        <f>IF((I4+I5+I6+J4+J5+J6)&gt;0,('Profit &amp; Loss'!J10+'Profit &amp; Loss'!J9)*2/(I4+I5+I6+J4+J5+J6),"")</f>
        <v>0.23681324146533575</v>
      </c>
      <c r="K24" s="10">
        <f>IF((J4+J5+J6+K4+K5+K6)&gt;0,('Profit &amp; Loss'!K10+'Profit &amp; Loss'!K9)*2/(J4+J5+J6+K4+K5+K6),"")</f>
        <v>0.21764100141969395</v>
      </c>
    </row>
    <row r="27" spans="1:11" x14ac:dyDescent="0.3">
      <c r="A27" t="s">
        <v>121</v>
      </c>
      <c r="B27" s="28">
        <f>B4+B5</f>
        <v>30616</v>
      </c>
      <c r="C27" s="28">
        <f t="shared" ref="C27:K27" si="1">C4+C5</f>
        <v>37075.1</v>
      </c>
      <c r="D27" s="28">
        <f t="shared" si="1"/>
        <v>42559.4</v>
      </c>
      <c r="E27" s="28">
        <f t="shared" si="1"/>
        <v>47092.1</v>
      </c>
      <c r="F27" s="28">
        <f t="shared" si="1"/>
        <v>49413</v>
      </c>
      <c r="G27" s="28">
        <f t="shared" si="1"/>
        <v>52500.6</v>
      </c>
      <c r="H27" s="28">
        <f t="shared" si="1"/>
        <v>55333.5</v>
      </c>
      <c r="I27" s="28">
        <f t="shared" si="1"/>
        <v>61791.3</v>
      </c>
      <c r="J27" s="28">
        <f t="shared" si="1"/>
        <v>85636</v>
      </c>
      <c r="K27" s="28">
        <f t="shared" si="1"/>
        <v>96239.9</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8"/>
  <sheetViews>
    <sheetView zoomScale="150" zoomScaleNormal="150" zoomScalePageLayoutView="150" workbookViewId="0">
      <pane xSplit="1" ySplit="3" topLeftCell="B4" activePane="bottomRight" state="frozen"/>
      <selection pane="topRight" activeCell="B1" sqref="B1"/>
      <selection pane="bottomLeft" activeCell="A4" sqref="A4"/>
      <selection pane="bottomRight" activeCell="G3" sqref="G3"/>
    </sheetView>
  </sheetViews>
  <sheetFormatPr defaultColWidth="8.77734375" defaultRowHeight="14.4" x14ac:dyDescent="0.3"/>
  <cols>
    <col min="1" max="1" width="26.77734375" bestFit="1" customWidth="1"/>
    <col min="2" max="6" width="13.44140625" customWidth="1"/>
    <col min="7" max="11" width="13.44140625" bestFit="1" customWidth="1"/>
  </cols>
  <sheetData>
    <row r="1" spans="1:11" s="2" customFormat="1" x14ac:dyDescent="0.3">
      <c r="A1" s="2" t="str">
        <f>'Balance Sheet'!A1</f>
        <v>MARUTI SUZUKI INDIA LTD</v>
      </c>
      <c r="E1" t="str">
        <f>UPDATE</f>
        <v/>
      </c>
      <c r="F1"/>
      <c r="J1" s="2" t="s">
        <v>1</v>
      </c>
    </row>
    <row r="3" spans="1:11" s="2" customFormat="1" x14ac:dyDescent="0.3">
      <c r="A3" s="11" t="s">
        <v>2</v>
      </c>
      <c r="B3" s="12">
        <f>'Data Sheet'!B81</f>
        <v>42460</v>
      </c>
      <c r="C3" s="12">
        <f>'Data Sheet'!C81</f>
        <v>42825</v>
      </c>
      <c r="D3" s="12">
        <f>'Data Sheet'!D81</f>
        <v>43190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x14ac:dyDescent="0.3">
      <c r="A4" s="2" t="s">
        <v>32</v>
      </c>
      <c r="B4" s="1">
        <f>'Data Sheet'!B82</f>
        <v>8482.5</v>
      </c>
      <c r="C4" s="1">
        <f>'Data Sheet'!C82</f>
        <v>10282</v>
      </c>
      <c r="D4" s="1">
        <f>'Data Sheet'!D82</f>
        <v>11787.9</v>
      </c>
      <c r="E4" s="1">
        <f>'Data Sheet'!E82</f>
        <v>6600.9</v>
      </c>
      <c r="F4" s="1">
        <f>'Data Sheet'!F82</f>
        <v>3495.8</v>
      </c>
      <c r="G4" s="1">
        <f>'Data Sheet'!G82</f>
        <v>8856.2000000000007</v>
      </c>
      <c r="H4" s="1">
        <f>'Data Sheet'!H82</f>
        <v>1840.5</v>
      </c>
      <c r="I4" s="1">
        <f>'Data Sheet'!I82</f>
        <v>9251.4</v>
      </c>
      <c r="J4" s="1">
        <f>'Data Sheet'!J82</f>
        <v>16801.099999999999</v>
      </c>
      <c r="K4" s="1">
        <f>'Data Sheet'!K82</f>
        <v>16136.2</v>
      </c>
    </row>
    <row r="5" spans="1:11" x14ac:dyDescent="0.3">
      <c r="A5" t="s">
        <v>33</v>
      </c>
      <c r="B5" s="6">
        <f>'Data Sheet'!B83</f>
        <v>-7230.4</v>
      </c>
      <c r="C5" s="6">
        <f>'Data Sheet'!C83</f>
        <v>-9173.2000000000007</v>
      </c>
      <c r="D5" s="6">
        <f>'Data Sheet'!D83</f>
        <v>-8301.7000000000007</v>
      </c>
      <c r="E5" s="6">
        <f>'Data Sheet'!E83</f>
        <v>-3539.9</v>
      </c>
      <c r="F5" s="6">
        <f>'Data Sheet'!F83</f>
        <v>-556.6</v>
      </c>
      <c r="G5" s="6">
        <f>'Data Sheet'!G83</f>
        <v>-7291.3</v>
      </c>
      <c r="H5" s="6">
        <f>'Data Sheet'!H83</f>
        <v>-239.2</v>
      </c>
      <c r="I5" s="6">
        <f>'Data Sheet'!I83</f>
        <v>-8036.1</v>
      </c>
      <c r="J5" s="6">
        <f>'Data Sheet'!J83</f>
        <v>-11864.8</v>
      </c>
      <c r="K5" s="6">
        <f>'Data Sheet'!K83</f>
        <v>-14456.1</v>
      </c>
    </row>
    <row r="6" spans="1:11" x14ac:dyDescent="0.3">
      <c r="A6" t="s">
        <v>34</v>
      </c>
      <c r="B6" s="6">
        <f>'Data Sheet'!B84</f>
        <v>-1236.5999999999999</v>
      </c>
      <c r="C6" s="6">
        <f>'Data Sheet'!C84</f>
        <v>-1129.3</v>
      </c>
      <c r="D6" s="6">
        <f>'Data Sheet'!D84</f>
        <v>-3436.1</v>
      </c>
      <c r="E6" s="6">
        <f>'Data Sheet'!E84</f>
        <v>-2947.9</v>
      </c>
      <c r="F6" s="6">
        <f>'Data Sheet'!F84</f>
        <v>-3104.3</v>
      </c>
      <c r="G6" s="6">
        <f>'Data Sheet'!G84</f>
        <v>-1544.9</v>
      </c>
      <c r="H6" s="6">
        <f>'Data Sheet'!H84</f>
        <v>-1607</v>
      </c>
      <c r="I6" s="6">
        <f>'Data Sheet'!I84</f>
        <v>-1213.0999999999999</v>
      </c>
      <c r="J6" s="6">
        <f>'Data Sheet'!J84</f>
        <v>-4062</v>
      </c>
      <c r="K6" s="6">
        <f>'Data Sheet'!K84</f>
        <v>-4155.1000000000004</v>
      </c>
    </row>
    <row r="7" spans="1:11" s="2" customFormat="1" x14ac:dyDescent="0.3">
      <c r="A7" s="2" t="s">
        <v>35</v>
      </c>
      <c r="B7" s="1">
        <f>'Data Sheet'!B85</f>
        <v>15.5</v>
      </c>
      <c r="C7" s="1">
        <f>'Data Sheet'!C85</f>
        <v>-20.5</v>
      </c>
      <c r="D7" s="1">
        <f>'Data Sheet'!D85</f>
        <v>50.1</v>
      </c>
      <c r="E7" s="1">
        <f>'Data Sheet'!E85</f>
        <v>113.1</v>
      </c>
      <c r="F7" s="1">
        <f>'Data Sheet'!F85</f>
        <v>-165.1</v>
      </c>
      <c r="G7" s="1">
        <f>'Data Sheet'!G85</f>
        <v>20</v>
      </c>
      <c r="H7" s="1">
        <f>'Data Sheet'!H85</f>
        <v>-5.7</v>
      </c>
      <c r="I7" s="1">
        <f>'Data Sheet'!I85</f>
        <v>2.2000000000000002</v>
      </c>
      <c r="J7" s="1">
        <f>'Data Sheet'!J85</f>
        <v>874.3</v>
      </c>
      <c r="K7" s="1">
        <f>'Data Sheet'!K85</f>
        <v>-2475</v>
      </c>
    </row>
    <row r="8" spans="1:11" x14ac:dyDescent="0.3">
      <c r="B8" s="6"/>
      <c r="C8" s="6"/>
      <c r="D8" s="6"/>
      <c r="E8" s="6"/>
      <c r="F8" s="6"/>
      <c r="G8" s="6"/>
      <c r="H8" s="6"/>
      <c r="I8" s="6"/>
      <c r="J8" s="6"/>
      <c r="K8" s="6"/>
    </row>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F2" activePane="bottomRight" state="frozen"/>
      <selection activeCell="C4" sqref="C4"/>
      <selection pane="topRight" activeCell="C4" sqref="C4"/>
      <selection pane="bottomLeft" activeCell="C4" sqref="C4"/>
      <selection pane="bottomRight" activeCell="H37" sqref="H37"/>
    </sheetView>
  </sheetViews>
  <sheetFormatPr defaultColWidth="8.77734375" defaultRowHeight="14.4" x14ac:dyDescent="0.3"/>
  <cols>
    <col min="1" max="1" width="27.6640625" style="4" bestFit="1" customWidth="1"/>
    <col min="2" max="11" width="13.44140625" style="4" bestFit="1" customWidth="1"/>
    <col min="12" max="16384" width="8.77734375" style="4"/>
  </cols>
  <sheetData>
    <row r="1" spans="1:11" s="1" customFormat="1" x14ac:dyDescent="0.3">
      <c r="A1" s="1" t="s">
        <v>0</v>
      </c>
      <c r="B1" s="1" t="s">
        <v>63</v>
      </c>
      <c r="E1" s="76" t="str">
        <f>IF(B2&lt;&gt;B3, "A NEW VERSION OF THE WORKSHEET IS AVAILABLE", "")</f>
        <v/>
      </c>
      <c r="F1" s="76"/>
      <c r="G1" s="76"/>
      <c r="H1" s="76"/>
      <c r="I1" s="76"/>
      <c r="J1" s="76"/>
      <c r="K1" s="76"/>
    </row>
    <row r="2" spans="1:11" x14ac:dyDescent="0.3">
      <c r="A2" s="1" t="s">
        <v>61</v>
      </c>
      <c r="B2" s="4">
        <v>2.1</v>
      </c>
      <c r="E2" s="77" t="s">
        <v>36</v>
      </c>
      <c r="F2" s="77"/>
      <c r="G2" s="77"/>
      <c r="H2" s="77"/>
      <c r="I2" s="77"/>
      <c r="J2" s="77"/>
      <c r="K2" s="77"/>
    </row>
    <row r="3" spans="1:11" x14ac:dyDescent="0.3">
      <c r="A3" s="1" t="s">
        <v>62</v>
      </c>
      <c r="B3" s="4">
        <v>2.1</v>
      </c>
    </row>
    <row r="4" spans="1:11" x14ac:dyDescent="0.3">
      <c r="A4" s="1"/>
    </row>
    <row r="5" spans="1:11" x14ac:dyDescent="0.3">
      <c r="A5" s="1" t="s">
        <v>64</v>
      </c>
    </row>
    <row r="6" spans="1:11" x14ac:dyDescent="0.3">
      <c r="A6" s="4" t="s">
        <v>42</v>
      </c>
      <c r="B6" s="4">
        <f>IF(B9&gt;0, B9/B8, 0)</f>
        <v>31.440257303459742</v>
      </c>
    </row>
    <row r="7" spans="1:11" x14ac:dyDescent="0.3">
      <c r="A7" s="4" t="s">
        <v>31</v>
      </c>
      <c r="B7">
        <v>5</v>
      </c>
    </row>
    <row r="8" spans="1:11" x14ac:dyDescent="0.3">
      <c r="A8" s="4" t="s">
        <v>43</v>
      </c>
      <c r="B8">
        <v>12631</v>
      </c>
    </row>
    <row r="9" spans="1:11" x14ac:dyDescent="0.3">
      <c r="A9" s="4" t="s">
        <v>79</v>
      </c>
      <c r="B9">
        <v>397121.89</v>
      </c>
    </row>
    <row r="15" spans="1:11" x14ac:dyDescent="0.3">
      <c r="A15" s="1" t="s">
        <v>37</v>
      </c>
    </row>
    <row r="16" spans="1:11" s="18" customFormat="1" x14ac:dyDescent="0.3">
      <c r="A16" s="17" t="s">
        <v>38</v>
      </c>
      <c r="B16" s="12">
        <v>42460</v>
      </c>
      <c r="C16" s="12">
        <v>42825</v>
      </c>
      <c r="D16" s="12">
        <v>43190</v>
      </c>
      <c r="E16" s="12">
        <v>43555</v>
      </c>
      <c r="F16" s="12">
        <v>43921</v>
      </c>
      <c r="G16" s="12">
        <v>44286</v>
      </c>
      <c r="H16" s="12">
        <v>44651</v>
      </c>
      <c r="I16" s="12">
        <v>45016</v>
      </c>
      <c r="J16" s="12">
        <v>45382</v>
      </c>
      <c r="K16" s="12">
        <v>45747</v>
      </c>
    </row>
    <row r="17" spans="1:11" s="6" customFormat="1" x14ac:dyDescent="0.3">
      <c r="A17" s="6" t="s">
        <v>6</v>
      </c>
      <c r="B17">
        <v>57589</v>
      </c>
      <c r="C17">
        <v>68085</v>
      </c>
      <c r="D17">
        <v>79809.399999999994</v>
      </c>
      <c r="E17">
        <v>86068.5</v>
      </c>
      <c r="F17">
        <v>75660</v>
      </c>
      <c r="G17">
        <v>70372</v>
      </c>
      <c r="H17">
        <v>88329.8</v>
      </c>
      <c r="I17">
        <v>117571.3</v>
      </c>
      <c r="J17">
        <v>141858.20000000001</v>
      </c>
      <c r="K17">
        <v>152913</v>
      </c>
    </row>
    <row r="18" spans="1:11" s="6" customFormat="1" x14ac:dyDescent="0.3">
      <c r="A18" s="4" t="s">
        <v>80</v>
      </c>
      <c r="B18">
        <v>38701.199999999997</v>
      </c>
      <c r="C18">
        <v>47121.5</v>
      </c>
      <c r="D18">
        <v>54945.3</v>
      </c>
      <c r="E18">
        <v>59346.6</v>
      </c>
      <c r="F18">
        <v>53402</v>
      </c>
      <c r="G18">
        <v>50550.5</v>
      </c>
      <c r="H18">
        <v>66137.100000000006</v>
      </c>
      <c r="I18">
        <v>86654.7</v>
      </c>
      <c r="J18">
        <v>100119.5</v>
      </c>
      <c r="K18">
        <v>108718.3</v>
      </c>
    </row>
    <row r="19" spans="1:11" s="6" customFormat="1" x14ac:dyDescent="0.3">
      <c r="A19" s="4" t="s">
        <v>81</v>
      </c>
      <c r="B19">
        <v>-4.8</v>
      </c>
      <c r="C19">
        <v>379.3</v>
      </c>
      <c r="D19">
        <v>-40.799999999999997</v>
      </c>
      <c r="E19">
        <v>-211.6</v>
      </c>
      <c r="F19">
        <v>238.7</v>
      </c>
      <c r="G19">
        <v>-273.60000000000002</v>
      </c>
      <c r="H19">
        <v>93.1</v>
      </c>
      <c r="I19">
        <v>403.9</v>
      </c>
      <c r="J19">
        <v>378.6</v>
      </c>
      <c r="K19">
        <v>1227.5</v>
      </c>
    </row>
    <row r="20" spans="1:11" s="6" customFormat="1" x14ac:dyDescent="0.3">
      <c r="A20" s="4" t="s">
        <v>82</v>
      </c>
      <c r="B20">
        <v>694.1</v>
      </c>
      <c r="C20">
        <v>518.6</v>
      </c>
      <c r="D20">
        <v>673.4</v>
      </c>
      <c r="E20">
        <v>863.3</v>
      </c>
      <c r="F20">
        <v>699.5</v>
      </c>
      <c r="G20">
        <v>476.6</v>
      </c>
      <c r="H20">
        <v>630.9</v>
      </c>
      <c r="I20">
        <v>790</v>
      </c>
      <c r="J20">
        <v>1033.4000000000001</v>
      </c>
      <c r="K20">
        <v>1052.5999999999999</v>
      </c>
    </row>
    <row r="21" spans="1:11" s="6" customFormat="1" x14ac:dyDescent="0.3">
      <c r="A21" s="4" t="s">
        <v>83</v>
      </c>
      <c r="B21">
        <v>427.8</v>
      </c>
      <c r="C21">
        <v>382.9</v>
      </c>
      <c r="D21">
        <v>462.1</v>
      </c>
      <c r="E21">
        <v>475.7</v>
      </c>
      <c r="F21">
        <v>378.1</v>
      </c>
      <c r="G21">
        <v>683.3</v>
      </c>
      <c r="H21">
        <v>852.5</v>
      </c>
      <c r="I21">
        <v>1120.7</v>
      </c>
      <c r="J21">
        <v>939.3</v>
      </c>
      <c r="K21">
        <v>1994.4</v>
      </c>
    </row>
    <row r="22" spans="1:11" s="6" customFormat="1" x14ac:dyDescent="0.3">
      <c r="A22" s="4" t="s">
        <v>84</v>
      </c>
      <c r="B22">
        <v>2000.3</v>
      </c>
      <c r="C22">
        <v>2360.3000000000002</v>
      </c>
      <c r="D22">
        <v>2863.4</v>
      </c>
      <c r="E22">
        <v>3285</v>
      </c>
      <c r="F22">
        <v>3416.2</v>
      </c>
      <c r="G22">
        <v>3431.6</v>
      </c>
      <c r="H22">
        <v>4051.4</v>
      </c>
      <c r="I22">
        <v>4634.6000000000004</v>
      </c>
      <c r="J22">
        <v>6301.6</v>
      </c>
      <c r="K22">
        <v>7026</v>
      </c>
    </row>
    <row r="23" spans="1:11" s="6" customFormat="1" x14ac:dyDescent="0.3">
      <c r="A23" s="4" t="s">
        <v>85</v>
      </c>
      <c r="B23">
        <v>5367.3</v>
      </c>
      <c r="C23">
        <v>6111.3</v>
      </c>
      <c r="D23">
        <v>6755.3</v>
      </c>
      <c r="E23">
        <v>8390.2999999999993</v>
      </c>
      <c r="F23">
        <v>8456.2999999999993</v>
      </c>
      <c r="G23">
        <v>7924</v>
      </c>
      <c r="H23">
        <v>9119.1</v>
      </c>
      <c r="I23">
        <v>11695</v>
      </c>
      <c r="J23">
        <v>12082.6</v>
      </c>
      <c r="K23">
        <v>11523.3</v>
      </c>
    </row>
    <row r="24" spans="1:11" s="6" customFormat="1" x14ac:dyDescent="0.3">
      <c r="A24" s="4" t="s">
        <v>86</v>
      </c>
      <c r="B24">
        <v>1369.4</v>
      </c>
      <c r="C24">
        <v>1548.4</v>
      </c>
      <c r="D24">
        <v>1951.2</v>
      </c>
      <c r="E24">
        <v>2439.6999999999998</v>
      </c>
      <c r="F24">
        <v>2191.6</v>
      </c>
      <c r="G24">
        <v>1621.8</v>
      </c>
      <c r="H24">
        <v>1879.9</v>
      </c>
      <c r="I24">
        <v>2051</v>
      </c>
      <c r="J24">
        <v>3134.1</v>
      </c>
      <c r="K24">
        <v>3602.3</v>
      </c>
    </row>
    <row r="25" spans="1:11" s="6" customFormat="1" x14ac:dyDescent="0.3">
      <c r="A25" s="6" t="s">
        <v>9</v>
      </c>
      <c r="B25">
        <v>1464.1</v>
      </c>
      <c r="C25">
        <v>2399.1999999999998</v>
      </c>
      <c r="D25">
        <v>2154.6</v>
      </c>
      <c r="E25">
        <v>2664.2</v>
      </c>
      <c r="F25">
        <v>3410.4</v>
      </c>
      <c r="G25">
        <v>3046.3</v>
      </c>
      <c r="H25">
        <v>1860.8</v>
      </c>
      <c r="I25">
        <v>2306.6</v>
      </c>
      <c r="J25">
        <v>4247.6000000000004</v>
      </c>
      <c r="K25">
        <v>5198.8</v>
      </c>
    </row>
    <row r="26" spans="1:11" s="6" customFormat="1" x14ac:dyDescent="0.3">
      <c r="A26" s="6" t="s">
        <v>10</v>
      </c>
      <c r="B26">
        <v>2821.8</v>
      </c>
      <c r="C26">
        <v>2603.9</v>
      </c>
      <c r="D26">
        <v>2759.8</v>
      </c>
      <c r="E26">
        <v>3020.8</v>
      </c>
      <c r="F26">
        <v>3528.4</v>
      </c>
      <c r="G26">
        <v>3034.1</v>
      </c>
      <c r="H26">
        <v>2789</v>
      </c>
      <c r="I26">
        <v>2825.7</v>
      </c>
      <c r="J26">
        <v>5255.8</v>
      </c>
      <c r="K26">
        <v>5608.2</v>
      </c>
    </row>
    <row r="27" spans="1:11" s="6" customFormat="1" x14ac:dyDescent="0.3">
      <c r="A27" s="6" t="s">
        <v>11</v>
      </c>
      <c r="B27">
        <v>81.7</v>
      </c>
      <c r="C27">
        <v>89.4</v>
      </c>
      <c r="D27">
        <v>345.8</v>
      </c>
      <c r="E27">
        <v>75.900000000000006</v>
      </c>
      <c r="F27">
        <v>134.19999999999999</v>
      </c>
      <c r="G27">
        <v>101.8</v>
      </c>
      <c r="H27">
        <v>126.6</v>
      </c>
      <c r="I27">
        <v>187</v>
      </c>
      <c r="J27">
        <v>193.6</v>
      </c>
      <c r="K27">
        <v>194.2</v>
      </c>
    </row>
    <row r="28" spans="1:11" s="6" customFormat="1" x14ac:dyDescent="0.3">
      <c r="A28" s="6" t="s">
        <v>12</v>
      </c>
      <c r="B28">
        <v>7584.7</v>
      </c>
      <c r="C28">
        <v>10127.200000000001</v>
      </c>
      <c r="D28">
        <v>11166.9</v>
      </c>
      <c r="E28">
        <v>10623.8</v>
      </c>
      <c r="F28">
        <v>7102.8</v>
      </c>
      <c r="G28">
        <v>5321</v>
      </c>
      <c r="H28">
        <v>4697.2</v>
      </c>
      <c r="I28">
        <v>10323.1</v>
      </c>
      <c r="J28">
        <v>17424.5</v>
      </c>
      <c r="K28">
        <v>19620</v>
      </c>
    </row>
    <row r="29" spans="1:11" s="6" customFormat="1" x14ac:dyDescent="0.3">
      <c r="A29" s="6" t="s">
        <v>13</v>
      </c>
      <c r="B29">
        <v>2087.5</v>
      </c>
      <c r="C29">
        <v>2616.1999999999998</v>
      </c>
      <c r="D29">
        <v>3286.2</v>
      </c>
      <c r="E29">
        <v>2973.2</v>
      </c>
      <c r="F29">
        <v>1425.2</v>
      </c>
      <c r="G29">
        <v>931.9</v>
      </c>
      <c r="H29">
        <v>817.7</v>
      </c>
      <c r="I29">
        <v>2112.1</v>
      </c>
      <c r="J29">
        <v>3936.3</v>
      </c>
      <c r="K29">
        <v>5119.8</v>
      </c>
    </row>
    <row r="30" spans="1:11" s="6" customFormat="1" x14ac:dyDescent="0.3">
      <c r="A30" s="6" t="s">
        <v>14</v>
      </c>
      <c r="B30">
        <v>5497.2</v>
      </c>
      <c r="C30">
        <v>7509.9</v>
      </c>
      <c r="D30">
        <v>7880</v>
      </c>
      <c r="E30">
        <v>7649.1</v>
      </c>
      <c r="F30">
        <v>5676</v>
      </c>
      <c r="G30">
        <v>4389.1000000000004</v>
      </c>
      <c r="H30">
        <v>3879.5</v>
      </c>
      <c r="I30">
        <v>8211</v>
      </c>
      <c r="J30">
        <v>13488.2</v>
      </c>
      <c r="K30">
        <v>14500.2</v>
      </c>
    </row>
    <row r="31" spans="1:11" s="6" customFormat="1" x14ac:dyDescent="0.3">
      <c r="A31" s="6" t="s">
        <v>70</v>
      </c>
      <c r="B31">
        <v>1057</v>
      </c>
      <c r="C31">
        <v>2265</v>
      </c>
      <c r="D31">
        <v>2416</v>
      </c>
      <c r="E31">
        <v>2416</v>
      </c>
      <c r="F31">
        <v>1812</v>
      </c>
      <c r="G31">
        <v>1359</v>
      </c>
      <c r="H31">
        <v>1812</v>
      </c>
      <c r="I31">
        <v>2718</v>
      </c>
      <c r="J31">
        <v>3930</v>
      </c>
      <c r="K31">
        <v>4244.3999999999996</v>
      </c>
    </row>
    <row r="32" spans="1:11" s="6" customFormat="1" x14ac:dyDescent="0.3"/>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39</v>
      </c>
    </row>
    <row r="41" spans="1:11" s="18" customFormat="1" x14ac:dyDescent="0.3">
      <c r="A41" s="17" t="s">
        <v>38</v>
      </c>
      <c r="B41" s="12">
        <v>45199</v>
      </c>
      <c r="C41" s="12">
        <v>45291</v>
      </c>
      <c r="D41" s="12">
        <v>45382</v>
      </c>
      <c r="E41" s="12">
        <v>45473</v>
      </c>
      <c r="F41" s="12">
        <v>45565</v>
      </c>
      <c r="G41" s="12">
        <v>45657</v>
      </c>
      <c r="H41" s="12">
        <v>45747</v>
      </c>
      <c r="I41" s="12">
        <v>45838</v>
      </c>
      <c r="J41" s="12">
        <v>45930</v>
      </c>
      <c r="K41" s="12">
        <v>46022</v>
      </c>
    </row>
    <row r="42" spans="1:11" s="6" customFormat="1" x14ac:dyDescent="0.3">
      <c r="A42" s="6" t="s">
        <v>6</v>
      </c>
      <c r="B42">
        <v>37339.4</v>
      </c>
      <c r="C42">
        <v>33512.800000000003</v>
      </c>
      <c r="D42">
        <v>38471.199999999997</v>
      </c>
      <c r="E42">
        <v>35779.4</v>
      </c>
      <c r="F42">
        <v>37449.199999999997</v>
      </c>
      <c r="G42">
        <v>38764.300000000003</v>
      </c>
      <c r="H42">
        <v>40920.1</v>
      </c>
      <c r="I42">
        <v>38605.199999999997</v>
      </c>
      <c r="J42">
        <v>42344.2</v>
      </c>
      <c r="K42">
        <v>49904.1</v>
      </c>
    </row>
    <row r="43" spans="1:11" s="6" customFormat="1" x14ac:dyDescent="0.3">
      <c r="A43" s="6" t="s">
        <v>7</v>
      </c>
      <c r="B43">
        <v>32027.9</v>
      </c>
      <c r="C43">
        <v>29072.799999999999</v>
      </c>
      <c r="D43">
        <v>33250.1</v>
      </c>
      <c r="E43">
        <v>30672.799999999999</v>
      </c>
      <c r="F43">
        <v>32450.400000000001</v>
      </c>
      <c r="G43">
        <v>33687.800000000003</v>
      </c>
      <c r="H43">
        <v>36076.1</v>
      </c>
      <c r="I43">
        <v>33982.6</v>
      </c>
      <c r="J43">
        <v>37258.199999999997</v>
      </c>
      <c r="K43">
        <v>44331</v>
      </c>
    </row>
    <row r="44" spans="1:11" s="6" customFormat="1" x14ac:dyDescent="0.3">
      <c r="A44" s="6" t="s">
        <v>9</v>
      </c>
      <c r="B44">
        <v>957.8</v>
      </c>
      <c r="C44">
        <v>1052.9000000000001</v>
      </c>
      <c r="D44">
        <v>1261</v>
      </c>
      <c r="E44">
        <v>1118.0999999999999</v>
      </c>
      <c r="F44">
        <v>1570.5</v>
      </c>
      <c r="G44">
        <v>1124.8</v>
      </c>
      <c r="H44">
        <v>1583.1</v>
      </c>
      <c r="I44">
        <v>1923.7</v>
      </c>
      <c r="J44">
        <v>1013.5</v>
      </c>
      <c r="K44">
        <v>1140.5</v>
      </c>
    </row>
    <row r="45" spans="1:11" s="6" customFormat="1" x14ac:dyDescent="0.3">
      <c r="A45" s="6" t="s">
        <v>10</v>
      </c>
      <c r="B45">
        <v>1341.9</v>
      </c>
      <c r="C45">
        <v>1301.5</v>
      </c>
      <c r="D45">
        <v>1298.3</v>
      </c>
      <c r="E45">
        <v>1331.7</v>
      </c>
      <c r="F45">
        <v>1385.7</v>
      </c>
      <c r="G45">
        <v>1429</v>
      </c>
      <c r="H45">
        <v>1461.8</v>
      </c>
      <c r="I45">
        <v>1556</v>
      </c>
      <c r="J45">
        <v>1703</v>
      </c>
      <c r="K45">
        <v>1734.6</v>
      </c>
    </row>
    <row r="46" spans="1:11" s="6" customFormat="1" x14ac:dyDescent="0.3">
      <c r="A46" s="6" t="s">
        <v>11</v>
      </c>
      <c r="B46">
        <v>35.1</v>
      </c>
      <c r="C46">
        <v>35.799999999999997</v>
      </c>
      <c r="D46">
        <v>76.2</v>
      </c>
      <c r="E46">
        <v>57.3</v>
      </c>
      <c r="F46">
        <v>43</v>
      </c>
      <c r="G46">
        <v>46.3</v>
      </c>
      <c r="H46">
        <v>47.6</v>
      </c>
      <c r="I46">
        <v>46.8</v>
      </c>
      <c r="J46">
        <v>57.2</v>
      </c>
      <c r="K46">
        <v>61.7</v>
      </c>
    </row>
    <row r="47" spans="1:11" s="6" customFormat="1" x14ac:dyDescent="0.3">
      <c r="A47" s="6" t="s">
        <v>12</v>
      </c>
      <c r="B47">
        <v>4892.3</v>
      </c>
      <c r="C47">
        <v>4155.6000000000004</v>
      </c>
      <c r="D47">
        <v>5107.6000000000004</v>
      </c>
      <c r="E47">
        <v>4835.7</v>
      </c>
      <c r="F47">
        <v>5140.6000000000004</v>
      </c>
      <c r="G47">
        <v>4726</v>
      </c>
      <c r="H47">
        <v>4917.7</v>
      </c>
      <c r="I47">
        <v>4943.5</v>
      </c>
      <c r="J47">
        <v>4339.3</v>
      </c>
      <c r="K47">
        <v>4917.3</v>
      </c>
    </row>
    <row r="48" spans="1:11" s="6" customFormat="1" x14ac:dyDescent="0.3">
      <c r="A48" s="6" t="s">
        <v>13</v>
      </c>
      <c r="B48">
        <v>1106.0999999999999</v>
      </c>
      <c r="C48">
        <v>948.8</v>
      </c>
      <c r="D48">
        <v>1155.3</v>
      </c>
      <c r="E48">
        <v>1076</v>
      </c>
      <c r="F48">
        <v>2038.1</v>
      </c>
      <c r="G48">
        <v>999.1</v>
      </c>
      <c r="H48">
        <v>1006.6</v>
      </c>
      <c r="I48">
        <v>1151.0999999999999</v>
      </c>
      <c r="J48">
        <v>990.3</v>
      </c>
      <c r="K48">
        <v>1038.2</v>
      </c>
    </row>
    <row r="49" spans="1:11" s="6" customFormat="1" x14ac:dyDescent="0.3">
      <c r="A49" s="6" t="s">
        <v>14</v>
      </c>
      <c r="B49">
        <v>3786.2</v>
      </c>
      <c r="C49">
        <v>3206.8</v>
      </c>
      <c r="D49">
        <v>3952.3</v>
      </c>
      <c r="E49">
        <v>3759.7</v>
      </c>
      <c r="F49">
        <v>3102.5</v>
      </c>
      <c r="G49">
        <v>3726.9</v>
      </c>
      <c r="H49">
        <v>3911.1</v>
      </c>
      <c r="I49">
        <v>3792.4</v>
      </c>
      <c r="J49">
        <v>3349</v>
      </c>
      <c r="K49">
        <v>3879.1</v>
      </c>
    </row>
    <row r="50" spans="1:11" x14ac:dyDescent="0.3">
      <c r="A50" s="6" t="s">
        <v>8</v>
      </c>
      <c r="B50">
        <v>5311.5</v>
      </c>
      <c r="C50">
        <v>4440</v>
      </c>
      <c r="D50">
        <v>5221.1000000000004</v>
      </c>
      <c r="E50">
        <v>5106.6000000000004</v>
      </c>
      <c r="F50">
        <v>4998.8</v>
      </c>
      <c r="G50">
        <v>5076.5</v>
      </c>
      <c r="H50">
        <v>4844</v>
      </c>
      <c r="I50">
        <v>4622.6000000000004</v>
      </c>
      <c r="J50">
        <v>5086</v>
      </c>
      <c r="K50">
        <v>5573.1</v>
      </c>
    </row>
    <row r="51" spans="1:11" x14ac:dyDescent="0.3">
      <c r="A51" s="6"/>
    </row>
    <row r="52" spans="1:11" x14ac:dyDescent="0.3">
      <c r="A52" s="6"/>
    </row>
    <row r="53" spans="1:11" x14ac:dyDescent="0.3">
      <c r="A53" s="6"/>
    </row>
    <row r="54" spans="1:11" x14ac:dyDescent="0.3">
      <c r="A54" s="6"/>
    </row>
    <row r="55" spans="1:11" x14ac:dyDescent="0.3">
      <c r="A55" s="1" t="s">
        <v>40</v>
      </c>
    </row>
    <row r="56" spans="1:11" s="18" customFormat="1" x14ac:dyDescent="0.3">
      <c r="A56" s="17" t="s">
        <v>38</v>
      </c>
      <c r="B56" s="12">
        <v>42460</v>
      </c>
      <c r="C56" s="12">
        <v>42825</v>
      </c>
      <c r="D56" s="12">
        <v>43190</v>
      </c>
      <c r="E56" s="12">
        <v>43555</v>
      </c>
      <c r="F56" s="12">
        <v>43921</v>
      </c>
      <c r="G56" s="12">
        <v>44286</v>
      </c>
      <c r="H56" s="12">
        <v>44651</v>
      </c>
      <c r="I56" s="12">
        <v>45016</v>
      </c>
      <c r="J56" s="12">
        <v>45382</v>
      </c>
      <c r="K56" s="12">
        <v>45747</v>
      </c>
    </row>
    <row r="57" spans="1:11" x14ac:dyDescent="0.3">
      <c r="A57" s="6" t="s">
        <v>24</v>
      </c>
      <c r="B57">
        <v>151</v>
      </c>
      <c r="C57">
        <v>151</v>
      </c>
      <c r="D57">
        <v>151</v>
      </c>
      <c r="E57">
        <v>151</v>
      </c>
      <c r="F57">
        <v>151</v>
      </c>
      <c r="G57">
        <v>151</v>
      </c>
      <c r="H57">
        <v>151</v>
      </c>
      <c r="I57">
        <v>151</v>
      </c>
      <c r="J57">
        <v>157.19999999999999</v>
      </c>
      <c r="K57">
        <v>157.19999999999999</v>
      </c>
    </row>
    <row r="58" spans="1:11" x14ac:dyDescent="0.3">
      <c r="A58" s="6" t="s">
        <v>25</v>
      </c>
      <c r="B58">
        <v>30465</v>
      </c>
      <c r="C58">
        <v>36924.1</v>
      </c>
      <c r="D58">
        <v>42408.4</v>
      </c>
      <c r="E58">
        <v>46941.1</v>
      </c>
      <c r="F58">
        <v>49262</v>
      </c>
      <c r="G58">
        <v>52349.599999999999</v>
      </c>
      <c r="H58">
        <v>55182.5</v>
      </c>
      <c r="I58">
        <v>61640.3</v>
      </c>
      <c r="J58">
        <v>85478.8</v>
      </c>
      <c r="K58">
        <v>96082.7</v>
      </c>
    </row>
    <row r="59" spans="1:11" x14ac:dyDescent="0.3">
      <c r="A59" s="6" t="s">
        <v>71</v>
      </c>
      <c r="B59">
        <v>230.9</v>
      </c>
      <c r="C59">
        <v>483.6</v>
      </c>
      <c r="D59">
        <v>120.8</v>
      </c>
      <c r="E59">
        <v>159.6</v>
      </c>
      <c r="F59">
        <v>184.1</v>
      </c>
      <c r="G59">
        <v>540.9</v>
      </c>
      <c r="H59">
        <v>425.5</v>
      </c>
      <c r="I59">
        <v>1247.3</v>
      </c>
      <c r="J59">
        <v>118.6</v>
      </c>
      <c r="K59">
        <v>87</v>
      </c>
    </row>
    <row r="60" spans="1:11" x14ac:dyDescent="0.3">
      <c r="A60" s="6" t="s">
        <v>72</v>
      </c>
      <c r="B60">
        <v>11878.6</v>
      </c>
      <c r="C60">
        <v>14401.8</v>
      </c>
      <c r="D60">
        <v>17568.2</v>
      </c>
      <c r="E60">
        <v>16717</v>
      </c>
      <c r="F60">
        <v>14030.6</v>
      </c>
      <c r="G60">
        <v>18334.599999999999</v>
      </c>
      <c r="H60">
        <v>18896.5</v>
      </c>
      <c r="I60">
        <v>21558.3</v>
      </c>
      <c r="J60">
        <v>29549.5</v>
      </c>
      <c r="K60">
        <v>35644.300000000003</v>
      </c>
    </row>
    <row r="61" spans="1:11" s="1" customFormat="1" x14ac:dyDescent="0.3">
      <c r="A61" s="1" t="s">
        <v>26</v>
      </c>
      <c r="B61">
        <v>42725.5</v>
      </c>
      <c r="C61">
        <v>51960.5</v>
      </c>
      <c r="D61">
        <v>60248.4</v>
      </c>
      <c r="E61">
        <v>63968.7</v>
      </c>
      <c r="F61">
        <v>63627.7</v>
      </c>
      <c r="G61">
        <v>71376.100000000006</v>
      </c>
      <c r="H61">
        <v>74655.5</v>
      </c>
      <c r="I61">
        <v>84596.9</v>
      </c>
      <c r="J61">
        <v>115304.1</v>
      </c>
      <c r="K61">
        <v>131971.20000000001</v>
      </c>
    </row>
    <row r="62" spans="1:11" x14ac:dyDescent="0.3">
      <c r="A62" s="6" t="s">
        <v>27</v>
      </c>
      <c r="B62">
        <v>12529.6</v>
      </c>
      <c r="C62">
        <v>13310.7</v>
      </c>
      <c r="D62">
        <v>13388.8</v>
      </c>
      <c r="E62">
        <v>15437.3</v>
      </c>
      <c r="F62">
        <v>15744.4</v>
      </c>
      <c r="G62">
        <v>14988.7</v>
      </c>
      <c r="H62">
        <v>13747.2</v>
      </c>
      <c r="I62">
        <v>17830.400000000001</v>
      </c>
      <c r="J62">
        <v>27864.799999999999</v>
      </c>
      <c r="K62">
        <v>32982.699999999997</v>
      </c>
    </row>
    <row r="63" spans="1:11" x14ac:dyDescent="0.3">
      <c r="A63" s="6" t="s">
        <v>28</v>
      </c>
      <c r="B63">
        <v>1006.9</v>
      </c>
      <c r="C63">
        <v>1252.3</v>
      </c>
      <c r="D63">
        <v>2132.1</v>
      </c>
      <c r="E63">
        <v>1606.9</v>
      </c>
      <c r="F63">
        <v>1415.2</v>
      </c>
      <c r="G63">
        <v>1496.8</v>
      </c>
      <c r="H63">
        <v>2936.5</v>
      </c>
      <c r="I63">
        <v>2904.1</v>
      </c>
      <c r="J63">
        <v>7734.8</v>
      </c>
      <c r="K63">
        <v>7929</v>
      </c>
    </row>
    <row r="64" spans="1:11" x14ac:dyDescent="0.3">
      <c r="A64" s="6" t="s">
        <v>29</v>
      </c>
      <c r="B64">
        <v>20675.8</v>
      </c>
      <c r="C64">
        <v>29150.6</v>
      </c>
      <c r="D64">
        <v>36123.1</v>
      </c>
      <c r="E64">
        <v>37503.599999999999</v>
      </c>
      <c r="F64">
        <v>37488</v>
      </c>
      <c r="G64">
        <v>42944.800000000003</v>
      </c>
      <c r="H64">
        <v>42034.7</v>
      </c>
      <c r="I64">
        <v>49184.3</v>
      </c>
      <c r="J64">
        <v>57296</v>
      </c>
      <c r="K64">
        <v>66265.399999999994</v>
      </c>
    </row>
    <row r="65" spans="1:11" x14ac:dyDescent="0.3">
      <c r="A65" s="6" t="s">
        <v>73</v>
      </c>
      <c r="B65">
        <v>8513.2000000000007</v>
      </c>
      <c r="C65">
        <v>8246.9</v>
      </c>
      <c r="D65">
        <v>8604.4</v>
      </c>
      <c r="E65">
        <v>9420.9</v>
      </c>
      <c r="F65">
        <v>8980.1</v>
      </c>
      <c r="G65">
        <v>11945.8</v>
      </c>
      <c r="H65">
        <v>15937.1</v>
      </c>
      <c r="I65">
        <v>14678.1</v>
      </c>
      <c r="J65">
        <v>22408.5</v>
      </c>
      <c r="K65">
        <v>24794.1</v>
      </c>
    </row>
    <row r="66" spans="1:11" s="1" customFormat="1" x14ac:dyDescent="0.3">
      <c r="A66" s="1" t="s">
        <v>26</v>
      </c>
      <c r="B66">
        <v>42725.5</v>
      </c>
      <c r="C66">
        <v>51960.5</v>
      </c>
      <c r="D66">
        <v>60248.4</v>
      </c>
      <c r="E66">
        <v>63968.7</v>
      </c>
      <c r="F66">
        <v>63627.7</v>
      </c>
      <c r="G66">
        <v>71376.100000000006</v>
      </c>
      <c r="H66">
        <v>74655.5</v>
      </c>
      <c r="I66">
        <v>84596.9</v>
      </c>
      <c r="J66">
        <v>115304.1</v>
      </c>
      <c r="K66">
        <v>131971.20000000001</v>
      </c>
    </row>
    <row r="67" spans="1:11" s="6" customFormat="1" x14ac:dyDescent="0.3">
      <c r="A67" s="6" t="s">
        <v>78</v>
      </c>
      <c r="B67">
        <v>1323.4</v>
      </c>
      <c r="C67">
        <v>1202.5999999999999</v>
      </c>
      <c r="D67">
        <v>1465.4</v>
      </c>
      <c r="E67">
        <v>2312.8000000000002</v>
      </c>
      <c r="F67">
        <v>1977.7</v>
      </c>
      <c r="G67">
        <v>1279.9000000000001</v>
      </c>
      <c r="H67">
        <v>2034.5</v>
      </c>
      <c r="I67">
        <v>3301.4</v>
      </c>
      <c r="J67">
        <v>4596.8</v>
      </c>
      <c r="K67">
        <v>6539.7</v>
      </c>
    </row>
    <row r="68" spans="1:11" x14ac:dyDescent="0.3">
      <c r="A68" s="6" t="s">
        <v>45</v>
      </c>
      <c r="B68">
        <v>3132.6</v>
      </c>
      <c r="C68">
        <v>3263.7</v>
      </c>
      <c r="D68">
        <v>3160.2</v>
      </c>
      <c r="E68">
        <v>3322.6</v>
      </c>
      <c r="F68">
        <v>3213.9</v>
      </c>
      <c r="G68">
        <v>3049</v>
      </c>
      <c r="H68">
        <v>3532.3</v>
      </c>
      <c r="I68">
        <v>4283.5</v>
      </c>
      <c r="J68">
        <v>5318.1</v>
      </c>
      <c r="K68">
        <v>6913.2</v>
      </c>
    </row>
    <row r="69" spans="1:11" x14ac:dyDescent="0.3">
      <c r="A69" s="4" t="s">
        <v>87</v>
      </c>
      <c r="B69">
        <v>50.7</v>
      </c>
      <c r="C69">
        <v>23.5</v>
      </c>
      <c r="D69">
        <v>74</v>
      </c>
      <c r="E69">
        <v>187.8</v>
      </c>
      <c r="F69">
        <v>29</v>
      </c>
      <c r="G69">
        <v>3047.1</v>
      </c>
      <c r="H69">
        <v>3042.2</v>
      </c>
      <c r="I69">
        <v>41.6</v>
      </c>
      <c r="J69">
        <v>2827.4</v>
      </c>
      <c r="K69">
        <v>552.9</v>
      </c>
    </row>
    <row r="70" spans="1:11" x14ac:dyDescent="0.3">
      <c r="A70" s="4" t="s">
        <v>74</v>
      </c>
      <c r="B70">
        <v>302080060</v>
      </c>
      <c r="C70">
        <v>302080060</v>
      </c>
      <c r="D70">
        <v>302080060</v>
      </c>
      <c r="E70">
        <v>302080060</v>
      </c>
      <c r="F70">
        <v>302080060</v>
      </c>
      <c r="G70">
        <v>302080060</v>
      </c>
      <c r="H70">
        <v>302080060</v>
      </c>
      <c r="I70">
        <v>302080060</v>
      </c>
      <c r="J70">
        <v>314402574</v>
      </c>
      <c r="K70">
        <v>314402574</v>
      </c>
    </row>
    <row r="71" spans="1:11" x14ac:dyDescent="0.3">
      <c r="A71" s="4" t="s">
        <v>75</v>
      </c>
    </row>
    <row r="72" spans="1:11" x14ac:dyDescent="0.3">
      <c r="A72" s="4" t="s">
        <v>88</v>
      </c>
      <c r="B72">
        <v>5</v>
      </c>
      <c r="C72">
        <v>5</v>
      </c>
      <c r="D72">
        <v>5</v>
      </c>
      <c r="E72">
        <v>5</v>
      </c>
      <c r="F72">
        <v>5</v>
      </c>
      <c r="G72">
        <v>5</v>
      </c>
      <c r="H72">
        <v>5</v>
      </c>
      <c r="I72">
        <v>5</v>
      </c>
      <c r="J72">
        <v>5</v>
      </c>
      <c r="K72">
        <v>5</v>
      </c>
    </row>
    <row r="74" spans="1:11" x14ac:dyDescent="0.3">
      <c r="A74" s="6"/>
    </row>
    <row r="75" spans="1:11" x14ac:dyDescent="0.3">
      <c r="A75" s="6"/>
    </row>
    <row r="76" spans="1:11" x14ac:dyDescent="0.3">
      <c r="A76" s="6"/>
    </row>
    <row r="77" spans="1:11" x14ac:dyDescent="0.3">
      <c r="A77" s="6"/>
    </row>
    <row r="78" spans="1:11" x14ac:dyDescent="0.3">
      <c r="A78" s="6"/>
    </row>
    <row r="79" spans="1:11" x14ac:dyDescent="0.3">
      <c r="A79" s="6"/>
    </row>
    <row r="80" spans="1:11" x14ac:dyDescent="0.3">
      <c r="A80" s="1" t="s">
        <v>41</v>
      </c>
    </row>
    <row r="81" spans="1:11" s="18" customFormat="1" x14ac:dyDescent="0.3">
      <c r="A81" s="17" t="s">
        <v>38</v>
      </c>
      <c r="B81" s="12">
        <v>42460</v>
      </c>
      <c r="C81" s="12">
        <v>42825</v>
      </c>
      <c r="D81" s="12">
        <v>43190</v>
      </c>
      <c r="E81" s="12">
        <v>43555</v>
      </c>
      <c r="F81" s="12">
        <v>43921</v>
      </c>
      <c r="G81" s="12">
        <v>44286</v>
      </c>
      <c r="H81" s="12">
        <v>44651</v>
      </c>
      <c r="I81" s="12">
        <v>45016</v>
      </c>
      <c r="J81" s="12">
        <v>45382</v>
      </c>
      <c r="K81" s="12">
        <v>45747</v>
      </c>
    </row>
    <row r="82" spans="1:11" s="1" customFormat="1" x14ac:dyDescent="0.3">
      <c r="A82" s="6" t="s">
        <v>32</v>
      </c>
      <c r="B82">
        <v>8482.5</v>
      </c>
      <c r="C82">
        <v>10282</v>
      </c>
      <c r="D82">
        <v>11787.9</v>
      </c>
      <c r="E82">
        <v>6600.9</v>
      </c>
      <c r="F82">
        <v>3495.8</v>
      </c>
      <c r="G82">
        <v>8856.2000000000007</v>
      </c>
      <c r="H82">
        <v>1840.5</v>
      </c>
      <c r="I82">
        <v>9251.4</v>
      </c>
      <c r="J82">
        <v>16801.099999999999</v>
      </c>
      <c r="K82">
        <v>16136.2</v>
      </c>
    </row>
    <row r="83" spans="1:11" s="6" customFormat="1" x14ac:dyDescent="0.3">
      <c r="A83" s="6" t="s">
        <v>33</v>
      </c>
      <c r="B83">
        <v>-7230.4</v>
      </c>
      <c r="C83">
        <v>-9173.2000000000007</v>
      </c>
      <c r="D83">
        <v>-8301.7000000000007</v>
      </c>
      <c r="E83">
        <v>-3539.9</v>
      </c>
      <c r="F83">
        <v>-556.6</v>
      </c>
      <c r="G83">
        <v>-7291.3</v>
      </c>
      <c r="H83">
        <v>-239.2</v>
      </c>
      <c r="I83">
        <v>-8036.1</v>
      </c>
      <c r="J83">
        <v>-11864.8</v>
      </c>
      <c r="K83">
        <v>-14456.1</v>
      </c>
    </row>
    <row r="84" spans="1:11" s="6" customFormat="1" x14ac:dyDescent="0.3">
      <c r="A84" s="6" t="s">
        <v>34</v>
      </c>
      <c r="B84">
        <v>-1236.5999999999999</v>
      </c>
      <c r="C84">
        <v>-1129.3</v>
      </c>
      <c r="D84">
        <v>-3436.1</v>
      </c>
      <c r="E84">
        <v>-2947.9</v>
      </c>
      <c r="F84">
        <v>-3104.3</v>
      </c>
      <c r="G84">
        <v>-1544.9</v>
      </c>
      <c r="H84">
        <v>-1607</v>
      </c>
      <c r="I84">
        <v>-1213.0999999999999</v>
      </c>
      <c r="J84">
        <v>-4062</v>
      </c>
      <c r="K84">
        <v>-4155.1000000000004</v>
      </c>
    </row>
    <row r="85" spans="1:11" s="1" customFormat="1" x14ac:dyDescent="0.3">
      <c r="A85" s="6" t="s">
        <v>35</v>
      </c>
      <c r="B85">
        <v>15.5</v>
      </c>
      <c r="C85">
        <v>-20.5</v>
      </c>
      <c r="D85">
        <v>50.1</v>
      </c>
      <c r="E85">
        <v>113.1</v>
      </c>
      <c r="F85">
        <v>-165.1</v>
      </c>
      <c r="G85">
        <v>20</v>
      </c>
      <c r="H85">
        <v>-5.7</v>
      </c>
      <c r="I85">
        <v>2.2000000000000002</v>
      </c>
      <c r="J85">
        <v>874.3</v>
      </c>
      <c r="K85">
        <v>-2475</v>
      </c>
    </row>
    <row r="86" spans="1:11" x14ac:dyDescent="0.3">
      <c r="A86" s="6"/>
    </row>
    <row r="87" spans="1:11" x14ac:dyDescent="0.3">
      <c r="A87" s="6"/>
    </row>
    <row r="88" spans="1:11" x14ac:dyDescent="0.3">
      <c r="A88" s="6"/>
    </row>
    <row r="89" spans="1:11" x14ac:dyDescent="0.3">
      <c r="A89" s="6"/>
    </row>
    <row r="90" spans="1:11" s="1" customFormat="1" x14ac:dyDescent="0.3">
      <c r="A90" s="1" t="s">
        <v>77</v>
      </c>
      <c r="B90">
        <v>3716.3</v>
      </c>
      <c r="C90">
        <v>6015.7</v>
      </c>
      <c r="D90">
        <v>8861.1</v>
      </c>
      <c r="E90">
        <v>6672.55</v>
      </c>
      <c r="F90">
        <v>4288.3</v>
      </c>
      <c r="G90">
        <v>6859.2</v>
      </c>
      <c r="H90">
        <v>7561.3</v>
      </c>
      <c r="I90">
        <v>8292.15</v>
      </c>
      <c r="J90">
        <v>12600.35</v>
      </c>
      <c r="K90">
        <v>11522.15</v>
      </c>
    </row>
    <row r="92" spans="1:11" s="1" customFormat="1" x14ac:dyDescent="0.3">
      <c r="A92" s="1" t="s">
        <v>76</v>
      </c>
    </row>
    <row r="93" spans="1:11" x14ac:dyDescent="0.3">
      <c r="A93" s="4" t="s">
        <v>89</v>
      </c>
      <c r="B93" s="24">
        <v>30.21</v>
      </c>
      <c r="C93" s="24">
        <v>30.21</v>
      </c>
      <c r="D93" s="24">
        <v>30.21</v>
      </c>
      <c r="E93" s="24">
        <v>30.21</v>
      </c>
      <c r="F93" s="24">
        <v>30.21</v>
      </c>
      <c r="G93" s="24">
        <v>30.21</v>
      </c>
      <c r="H93" s="24">
        <v>30.21</v>
      </c>
      <c r="I93" s="24">
        <v>30.21</v>
      </c>
      <c r="J93" s="24">
        <v>31.44</v>
      </c>
      <c r="K93" s="24">
        <v>31.44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2"/>
    <col min="2" max="2" width="10.44140625" customWidth="1"/>
    <col min="3" max="3" width="13.33203125" style="20" customWidth="1"/>
    <col min="6" max="6" width="6.77734375" customWidth="1"/>
  </cols>
  <sheetData>
    <row r="1" spans="1:7" ht="21" x14ac:dyDescent="0.4">
      <c r="A1" s="19" t="s">
        <v>56</v>
      </c>
    </row>
    <row r="3" spans="1:7" x14ac:dyDescent="0.3">
      <c r="A3" s="2" t="s">
        <v>48</v>
      </c>
    </row>
    <row r="4" spans="1:7" x14ac:dyDescent="0.3">
      <c r="B4" t="s">
        <v>90</v>
      </c>
    </row>
    <row r="5" spans="1:7" x14ac:dyDescent="0.3">
      <c r="B5" t="s">
        <v>49</v>
      </c>
    </row>
    <row r="7" spans="1:7" x14ac:dyDescent="0.3">
      <c r="A7" s="2" t="s">
        <v>50</v>
      </c>
    </row>
    <row r="8" spans="1:7" x14ac:dyDescent="0.3">
      <c r="B8" t="s">
        <v>51</v>
      </c>
      <c r="C8" s="21" t="s">
        <v>91</v>
      </c>
    </row>
    <row r="10" spans="1:7" x14ac:dyDescent="0.3">
      <c r="A10" s="2" t="s">
        <v>52</v>
      </c>
    </row>
    <row r="11" spans="1:7" x14ac:dyDescent="0.3">
      <c r="B11" t="s">
        <v>53</v>
      </c>
    </row>
    <row r="14" spans="1:7" x14ac:dyDescent="0.3">
      <c r="A14" s="2" t="s">
        <v>54</v>
      </c>
    </row>
    <row r="15" spans="1:7" x14ac:dyDescent="0.3">
      <c r="B15" t="s">
        <v>55</v>
      </c>
    </row>
    <row r="16" spans="1:7" x14ac:dyDescent="0.3">
      <c r="B16" t="s">
        <v>92</v>
      </c>
      <c r="G16" s="22"/>
    </row>
  </sheetData>
  <hyperlinks>
    <hyperlink ref="C8" r:id="rId1" display=" http://www.screener.in/excel" xr:uid="{00000000-0004-0000-04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56DEB-6A9B-4C7B-B7A4-CB8FFD4DE2E2}">
  <dimension ref="B6:AB1225"/>
  <sheetViews>
    <sheetView showGridLines="0" topLeftCell="T3" zoomScale="99" zoomScaleNormal="99" workbookViewId="0">
      <selection activeCell="V10" sqref="V10:V20"/>
    </sheetView>
  </sheetViews>
  <sheetFormatPr defaultRowHeight="14.4" x14ac:dyDescent="0.3"/>
  <cols>
    <col min="2" max="2" width="89.44140625" bestFit="1" customWidth="1"/>
    <col min="3" max="3" width="10.77734375" bestFit="1" customWidth="1"/>
    <col min="4" max="4" width="9.6640625" bestFit="1" customWidth="1"/>
    <col min="5" max="5" width="9.5546875" bestFit="1" customWidth="1"/>
    <col min="8" max="8" width="54.6640625" bestFit="1" customWidth="1"/>
    <col min="16" max="16" width="45.5546875" bestFit="1" customWidth="1"/>
    <col min="23" max="23" width="51.21875" bestFit="1" customWidth="1"/>
    <col min="24" max="24" width="15.88671875" bestFit="1" customWidth="1"/>
    <col min="25" max="25" width="16" bestFit="1" customWidth="1"/>
    <col min="26" max="26" width="20.109375" bestFit="1" customWidth="1"/>
  </cols>
  <sheetData>
    <row r="6" spans="2:28" ht="58.8" customHeight="1" x14ac:dyDescent="0.3">
      <c r="B6" s="25" t="s">
        <v>93</v>
      </c>
    </row>
    <row r="7" spans="2:28" x14ac:dyDescent="0.3">
      <c r="AA7">
        <v>100</v>
      </c>
    </row>
    <row r="8" spans="2:28" x14ac:dyDescent="0.3">
      <c r="AB8">
        <v>100000</v>
      </c>
    </row>
    <row r="9" spans="2:28" x14ac:dyDescent="0.3">
      <c r="V9">
        <v>1</v>
      </c>
      <c r="W9" t="s">
        <v>128</v>
      </c>
      <c r="X9" t="s">
        <v>131</v>
      </c>
      <c r="Y9" t="s">
        <v>130</v>
      </c>
      <c r="Z9" t="s">
        <v>132</v>
      </c>
    </row>
    <row r="10" spans="2:28" x14ac:dyDescent="0.3">
      <c r="C10" s="32" t="s">
        <v>111</v>
      </c>
      <c r="D10" s="36" t="s">
        <v>112</v>
      </c>
      <c r="E10" s="36" t="s">
        <v>113</v>
      </c>
      <c r="G10">
        <v>10000</v>
      </c>
      <c r="V10">
        <v>1</v>
      </c>
      <c r="W10" s="40" t="s">
        <v>133</v>
      </c>
      <c r="X10" s="31">
        <v>1832.4647600000001</v>
      </c>
      <c r="Y10" s="29">
        <v>0.58279999999999998</v>
      </c>
      <c r="Z10" s="31">
        <f>12631*X10</f>
        <v>23145862.383560002</v>
      </c>
    </row>
    <row r="11" spans="2:28" x14ac:dyDescent="0.3">
      <c r="C11" s="33">
        <v>46114</v>
      </c>
      <c r="D11" s="37">
        <v>12632.25</v>
      </c>
      <c r="E11" s="37">
        <v>36989</v>
      </c>
      <c r="V11">
        <v>2</v>
      </c>
      <c r="W11" s="40" t="s">
        <v>136</v>
      </c>
      <c r="X11" s="31">
        <v>135.17739</v>
      </c>
      <c r="Y11" s="29">
        <v>4.2999999999999997E-2</v>
      </c>
      <c r="Z11" s="31">
        <f t="shared" ref="Z11:Z16" si="0">12631*X11</f>
        <v>1707425.6130900001</v>
      </c>
    </row>
    <row r="12" spans="2:28" x14ac:dyDescent="0.3">
      <c r="C12" s="33">
        <v>46113</v>
      </c>
      <c r="D12" s="37">
        <v>12508.3</v>
      </c>
      <c r="E12" s="37">
        <v>27500</v>
      </c>
      <c r="V12">
        <v>3</v>
      </c>
      <c r="W12" s="40" t="s">
        <v>139</v>
      </c>
      <c r="X12" s="31">
        <v>99.487210000000005</v>
      </c>
      <c r="Y12" s="29">
        <v>3.1600000000000003E-2</v>
      </c>
      <c r="Z12" s="31">
        <f t="shared" si="0"/>
        <v>1256622.9495099999</v>
      </c>
    </row>
    <row r="13" spans="2:28" x14ac:dyDescent="0.3">
      <c r="C13" s="33">
        <v>46111</v>
      </c>
      <c r="D13" s="37">
        <v>12298.8</v>
      </c>
      <c r="E13" s="37">
        <v>19155</v>
      </c>
      <c r="V13">
        <v>4</v>
      </c>
      <c r="W13" s="40" t="s">
        <v>137</v>
      </c>
      <c r="X13" s="31">
        <v>72.031030000000001</v>
      </c>
      <c r="Y13" s="29">
        <v>2.29E-2</v>
      </c>
      <c r="Z13" s="31">
        <f t="shared" si="0"/>
        <v>909823.93992999999</v>
      </c>
    </row>
    <row r="14" spans="2:28" x14ac:dyDescent="0.3">
      <c r="C14" s="33">
        <v>46108</v>
      </c>
      <c r="D14" s="37">
        <v>12387.9</v>
      </c>
      <c r="E14" s="37">
        <v>22889</v>
      </c>
      <c r="V14">
        <v>5</v>
      </c>
      <c r="W14" s="40" t="s">
        <v>138</v>
      </c>
      <c r="X14" s="31">
        <v>67.578209999999999</v>
      </c>
      <c r="Y14" s="29">
        <v>2.1499999999999998E-2</v>
      </c>
      <c r="Z14" s="31">
        <f t="shared" si="0"/>
        <v>853580.37051000004</v>
      </c>
    </row>
    <row r="15" spans="2:28" x14ac:dyDescent="0.3">
      <c r="C15" s="33">
        <v>46106</v>
      </c>
      <c r="D15" s="37">
        <v>12704.3</v>
      </c>
      <c r="E15" s="37">
        <v>43366</v>
      </c>
      <c r="V15">
        <v>6</v>
      </c>
      <c r="W15" s="40" t="s">
        <v>140</v>
      </c>
      <c r="X15" s="31">
        <v>43.684269999999998</v>
      </c>
      <c r="Y15" s="29">
        <v>1.3899999999999999E-2</v>
      </c>
      <c r="Z15" s="31">
        <f t="shared" si="0"/>
        <v>551776.01436999999</v>
      </c>
    </row>
    <row r="16" spans="2:28" x14ac:dyDescent="0.3">
      <c r="C16" s="33">
        <v>46105</v>
      </c>
      <c r="D16" s="37">
        <v>12467.5</v>
      </c>
      <c r="E16" s="37">
        <v>60566</v>
      </c>
      <c r="V16">
        <v>7</v>
      </c>
      <c r="W16" s="40" t="s">
        <v>134</v>
      </c>
      <c r="X16" s="31">
        <v>38.748289999999997</v>
      </c>
      <c r="Y16" s="29">
        <v>1.23E-2</v>
      </c>
      <c r="Z16" s="31">
        <f t="shared" si="0"/>
        <v>489429.65098999994</v>
      </c>
    </row>
    <row r="17" spans="3:26" x14ac:dyDescent="0.3">
      <c r="C17" s="33">
        <v>46104</v>
      </c>
      <c r="D17" s="37">
        <v>12354.05</v>
      </c>
      <c r="E17" s="37">
        <v>33513</v>
      </c>
      <c r="V17">
        <v>8</v>
      </c>
      <c r="W17" s="40" t="s">
        <v>141</v>
      </c>
      <c r="X17" s="31">
        <v>36.438270000000003</v>
      </c>
      <c r="Y17" s="29">
        <v>1.1599999999999999E-2</v>
      </c>
      <c r="Z17" s="31">
        <f>12631*X17</f>
        <v>460251.78837000002</v>
      </c>
    </row>
    <row r="18" spans="3:26" x14ac:dyDescent="0.3">
      <c r="C18" s="33">
        <v>46100</v>
      </c>
      <c r="D18" s="37">
        <v>12591.45</v>
      </c>
      <c r="E18" s="37">
        <v>61601</v>
      </c>
      <c r="V18">
        <v>9</v>
      </c>
      <c r="W18" t="s">
        <v>193</v>
      </c>
      <c r="X18">
        <v>30.25</v>
      </c>
      <c r="Y18" s="5">
        <v>9.5999999999999992E-3</v>
      </c>
      <c r="Z18" s="31">
        <f>12631*X18</f>
        <v>382087.75</v>
      </c>
    </row>
    <row r="19" spans="3:26" x14ac:dyDescent="0.3">
      <c r="C19" s="33">
        <v>46099</v>
      </c>
      <c r="D19" s="37">
        <v>13054.65</v>
      </c>
      <c r="E19" s="37">
        <v>121957</v>
      </c>
      <c r="V19">
        <v>10</v>
      </c>
      <c r="W19" s="40" t="s">
        <v>194</v>
      </c>
      <c r="X19" s="31">
        <v>28.1</v>
      </c>
      <c r="Y19" s="5">
        <v>8.8999999999999999E-3</v>
      </c>
      <c r="Z19" s="31">
        <f>12631*X19</f>
        <v>354931.10000000003</v>
      </c>
    </row>
    <row r="20" spans="3:26" x14ac:dyDescent="0.3">
      <c r="C20" s="33">
        <v>46101</v>
      </c>
      <c r="D20" s="37">
        <v>12602.65</v>
      </c>
      <c r="E20" s="37">
        <v>20392</v>
      </c>
      <c r="V20">
        <v>11</v>
      </c>
      <c r="W20" s="40" t="s">
        <v>135</v>
      </c>
      <c r="X20" s="31">
        <v>0.36051</v>
      </c>
      <c r="Y20" s="29">
        <v>1E-4</v>
      </c>
      <c r="Z20" s="31">
        <f>12631*X20</f>
        <v>4553.6018100000001</v>
      </c>
    </row>
    <row r="22" spans="3:26" x14ac:dyDescent="0.3">
      <c r="C22" s="33"/>
      <c r="D22" s="37"/>
      <c r="E22" s="37"/>
    </row>
    <row r="23" spans="3:26" x14ac:dyDescent="0.3">
      <c r="C23" s="33">
        <v>46098</v>
      </c>
      <c r="D23" s="37">
        <v>12993.55</v>
      </c>
      <c r="E23" s="37">
        <v>30535</v>
      </c>
      <c r="W23" t="s">
        <v>192</v>
      </c>
    </row>
    <row r="24" spans="3:26" x14ac:dyDescent="0.3">
      <c r="C24" s="33">
        <v>46097</v>
      </c>
      <c r="D24" s="37">
        <v>12753.3</v>
      </c>
      <c r="E24" s="37">
        <v>25175</v>
      </c>
      <c r="P24" t="s">
        <v>142</v>
      </c>
      <c r="Q24" s="5">
        <v>0.58279999999999998</v>
      </c>
    </row>
    <row r="25" spans="3:26" x14ac:dyDescent="0.3">
      <c r="C25" s="33">
        <v>46094</v>
      </c>
      <c r="D25" s="37">
        <v>12588.45</v>
      </c>
      <c r="E25" s="37">
        <v>40288</v>
      </c>
      <c r="P25" t="s">
        <v>143</v>
      </c>
      <c r="Q25" s="5">
        <v>0.15759999999999999</v>
      </c>
    </row>
    <row r="26" spans="3:26" x14ac:dyDescent="0.3">
      <c r="C26" s="33">
        <v>46093</v>
      </c>
      <c r="D26" s="37">
        <v>13016.1</v>
      </c>
      <c r="E26" s="37">
        <v>123556</v>
      </c>
      <c r="P26" t="s">
        <v>144</v>
      </c>
      <c r="Q26" s="5">
        <v>0.22839999999999999</v>
      </c>
    </row>
    <row r="27" spans="3:26" x14ac:dyDescent="0.3">
      <c r="C27" s="33">
        <v>46091</v>
      </c>
      <c r="D27" s="37">
        <v>13870.05</v>
      </c>
      <c r="E27" s="37">
        <v>13374</v>
      </c>
      <c r="P27" t="s">
        <v>145</v>
      </c>
      <c r="Q27" s="5">
        <f>3.04%+0.08%</f>
        <v>3.1199999999999999E-2</v>
      </c>
    </row>
    <row r="28" spans="3:26" x14ac:dyDescent="0.3">
      <c r="C28" s="33">
        <v>46090</v>
      </c>
      <c r="D28" s="37">
        <v>13504.45</v>
      </c>
      <c r="E28" s="37">
        <v>22884</v>
      </c>
      <c r="Q28" s="5"/>
    </row>
    <row r="29" spans="3:26" x14ac:dyDescent="0.3">
      <c r="C29" s="33">
        <v>46087</v>
      </c>
      <c r="D29" s="37">
        <v>14149.15</v>
      </c>
      <c r="E29" s="37">
        <v>12820</v>
      </c>
    </row>
    <row r="30" spans="3:26" x14ac:dyDescent="0.3">
      <c r="C30" s="33">
        <v>46086</v>
      </c>
      <c r="D30" s="37">
        <v>14416.35</v>
      </c>
      <c r="E30" s="37">
        <v>20274</v>
      </c>
    </row>
    <row r="31" spans="3:26" x14ac:dyDescent="0.3">
      <c r="C31" s="33">
        <v>46085</v>
      </c>
      <c r="D31" s="37">
        <v>14152.45</v>
      </c>
      <c r="E31" s="37">
        <v>24165</v>
      </c>
    </row>
    <row r="32" spans="3:26" x14ac:dyDescent="0.3">
      <c r="C32" s="33">
        <v>46083</v>
      </c>
      <c r="D32" s="37">
        <v>14380.6</v>
      </c>
      <c r="E32" s="37">
        <v>27046</v>
      </c>
    </row>
    <row r="33" spans="3:5" x14ac:dyDescent="0.3">
      <c r="C33" s="33">
        <v>46080</v>
      </c>
      <c r="D33" s="37">
        <v>14869.55</v>
      </c>
      <c r="E33" s="37">
        <v>25537</v>
      </c>
    </row>
    <row r="34" spans="3:5" x14ac:dyDescent="0.3">
      <c r="C34" s="33">
        <v>46079</v>
      </c>
      <c r="D34" s="37">
        <v>15213.05</v>
      </c>
      <c r="E34" s="37">
        <v>10032</v>
      </c>
    </row>
    <row r="35" spans="3:5" x14ac:dyDescent="0.3">
      <c r="C35" s="33">
        <v>46078</v>
      </c>
      <c r="D35" s="37">
        <v>15060.1</v>
      </c>
      <c r="E35" s="37">
        <v>14582</v>
      </c>
    </row>
    <row r="36" spans="3:5" x14ac:dyDescent="0.3">
      <c r="C36" s="33">
        <v>46077</v>
      </c>
      <c r="D36" s="37">
        <v>14924.4</v>
      </c>
      <c r="E36" s="37">
        <v>2696</v>
      </c>
    </row>
    <row r="37" spans="3:5" x14ac:dyDescent="0.3">
      <c r="C37" s="33">
        <v>46076</v>
      </c>
      <c r="D37" s="37">
        <v>15067.7</v>
      </c>
      <c r="E37" s="37">
        <v>8521</v>
      </c>
    </row>
    <row r="38" spans="3:5" x14ac:dyDescent="0.3">
      <c r="C38" s="33">
        <v>46073</v>
      </c>
      <c r="D38" s="37">
        <v>14987.55</v>
      </c>
      <c r="E38" s="37">
        <v>30817</v>
      </c>
    </row>
    <row r="39" spans="3:5" x14ac:dyDescent="0.3">
      <c r="C39" s="33">
        <v>46072</v>
      </c>
      <c r="D39" s="37">
        <v>14904</v>
      </c>
      <c r="E39" s="37">
        <v>3826</v>
      </c>
    </row>
    <row r="40" spans="3:5" x14ac:dyDescent="0.3">
      <c r="C40" s="33">
        <v>46071</v>
      </c>
      <c r="D40" s="37">
        <v>15167.1</v>
      </c>
      <c r="E40" s="37">
        <v>8547</v>
      </c>
    </row>
    <row r="41" spans="3:5" x14ac:dyDescent="0.3">
      <c r="C41" s="33">
        <v>46070</v>
      </c>
      <c r="D41" s="37">
        <v>15180.3</v>
      </c>
      <c r="E41" s="37">
        <v>2710</v>
      </c>
    </row>
    <row r="42" spans="3:5" x14ac:dyDescent="0.3">
      <c r="C42" s="33">
        <v>46069</v>
      </c>
      <c r="D42" s="37">
        <v>15049.65</v>
      </c>
      <c r="E42" s="37">
        <v>4577</v>
      </c>
    </row>
    <row r="43" spans="3:5" x14ac:dyDescent="0.3">
      <c r="C43" s="33">
        <v>46066</v>
      </c>
      <c r="D43" s="37">
        <v>15227.4</v>
      </c>
      <c r="E43" s="37">
        <v>3799</v>
      </c>
    </row>
    <row r="44" spans="3:5" x14ac:dyDescent="0.3">
      <c r="C44" s="33">
        <v>46065</v>
      </c>
      <c r="D44" s="37">
        <v>15323.75</v>
      </c>
      <c r="E44" s="37">
        <v>5790</v>
      </c>
    </row>
    <row r="45" spans="3:5" x14ac:dyDescent="0.3">
      <c r="C45" s="33">
        <v>46064</v>
      </c>
      <c r="D45" s="37">
        <v>15412.75</v>
      </c>
      <c r="E45" s="37">
        <v>14051</v>
      </c>
    </row>
    <row r="46" spans="3:5" x14ac:dyDescent="0.3">
      <c r="C46" s="33">
        <v>46063</v>
      </c>
      <c r="D46" s="37">
        <v>15154.95</v>
      </c>
      <c r="E46" s="37">
        <v>11448</v>
      </c>
    </row>
    <row r="47" spans="3:5" x14ac:dyDescent="0.3">
      <c r="C47" s="33">
        <v>46062</v>
      </c>
      <c r="D47" s="37">
        <v>14979.5</v>
      </c>
      <c r="E47" s="37">
        <v>7431</v>
      </c>
    </row>
    <row r="48" spans="3:5" x14ac:dyDescent="0.3">
      <c r="C48" s="33">
        <v>46059</v>
      </c>
      <c r="D48" s="37">
        <v>15001.4</v>
      </c>
      <c r="E48" s="37">
        <v>28173</v>
      </c>
    </row>
    <row r="49" spans="3:5" x14ac:dyDescent="0.3">
      <c r="C49" s="33">
        <v>46058</v>
      </c>
      <c r="D49" s="37">
        <v>15051.2</v>
      </c>
      <c r="E49" s="37">
        <v>7254</v>
      </c>
    </row>
    <row r="50" spans="3:5" x14ac:dyDescent="0.3">
      <c r="C50" s="33">
        <v>46057</v>
      </c>
      <c r="D50" s="37">
        <v>15077.5</v>
      </c>
      <c r="E50" s="37">
        <v>7102</v>
      </c>
    </row>
    <row r="51" spans="3:5" x14ac:dyDescent="0.3">
      <c r="C51" s="33">
        <v>46056</v>
      </c>
      <c r="D51" s="37">
        <v>14779.6</v>
      </c>
      <c r="E51" s="37">
        <v>15267</v>
      </c>
    </row>
    <row r="52" spans="3:5" x14ac:dyDescent="0.3">
      <c r="C52" s="33">
        <v>46055</v>
      </c>
      <c r="D52" s="37">
        <v>14387.05</v>
      </c>
      <c r="E52" s="37">
        <v>11703</v>
      </c>
    </row>
    <row r="53" spans="3:5" x14ac:dyDescent="0.3">
      <c r="C53" s="33">
        <v>46052</v>
      </c>
      <c r="D53" s="37">
        <v>14601.55</v>
      </c>
      <c r="E53" s="37">
        <v>10837</v>
      </c>
    </row>
    <row r="54" spans="3:5" x14ac:dyDescent="0.3">
      <c r="C54" s="33">
        <v>46051</v>
      </c>
      <c r="D54" s="37">
        <v>14499.5</v>
      </c>
      <c r="E54" s="37">
        <v>20586</v>
      </c>
    </row>
    <row r="55" spans="3:5" x14ac:dyDescent="0.3">
      <c r="C55" s="33">
        <v>46050</v>
      </c>
      <c r="D55" s="37">
        <v>14876.8</v>
      </c>
      <c r="E55" s="37">
        <v>77374</v>
      </c>
    </row>
    <row r="56" spans="3:5" x14ac:dyDescent="0.3">
      <c r="C56" s="33">
        <v>46049</v>
      </c>
      <c r="D56" s="37">
        <v>15240.95</v>
      </c>
      <c r="E56" s="37">
        <v>35233</v>
      </c>
    </row>
    <row r="57" spans="3:5" x14ac:dyDescent="0.3">
      <c r="C57" s="33">
        <v>46045</v>
      </c>
      <c r="D57" s="37">
        <v>15469.6</v>
      </c>
      <c r="E57" s="37">
        <v>15308</v>
      </c>
    </row>
    <row r="58" spans="3:5" x14ac:dyDescent="0.3">
      <c r="C58" s="33">
        <v>46044</v>
      </c>
      <c r="D58" s="37">
        <v>15764</v>
      </c>
      <c r="E58" s="37">
        <v>6968</v>
      </c>
    </row>
    <row r="59" spans="3:5" x14ac:dyDescent="0.3">
      <c r="C59" s="33">
        <v>46043</v>
      </c>
      <c r="D59" s="37">
        <v>15769.1</v>
      </c>
      <c r="E59" s="37">
        <v>19171</v>
      </c>
    </row>
    <row r="60" spans="3:5" x14ac:dyDescent="0.3">
      <c r="C60" s="33">
        <v>46042</v>
      </c>
      <c r="D60" s="37">
        <v>15881.1</v>
      </c>
      <c r="E60" s="37">
        <v>18718</v>
      </c>
    </row>
    <row r="61" spans="3:5" x14ac:dyDescent="0.3">
      <c r="C61" s="33">
        <v>46041</v>
      </c>
      <c r="D61" s="37">
        <v>16179.75</v>
      </c>
      <c r="E61" s="37">
        <v>10021</v>
      </c>
    </row>
    <row r="62" spans="3:5" x14ac:dyDescent="0.3">
      <c r="C62" s="33">
        <v>46038</v>
      </c>
      <c r="D62" s="37">
        <v>15856.55</v>
      </c>
      <c r="E62" s="37">
        <v>13086</v>
      </c>
    </row>
    <row r="63" spans="3:5" x14ac:dyDescent="0.3">
      <c r="C63" s="33">
        <v>46036</v>
      </c>
      <c r="D63" s="37">
        <v>16144.05</v>
      </c>
      <c r="E63" s="37">
        <v>9786</v>
      </c>
    </row>
    <row r="64" spans="3:5" x14ac:dyDescent="0.3">
      <c r="C64" s="33">
        <v>46035</v>
      </c>
      <c r="D64" s="37">
        <v>16425.8</v>
      </c>
      <c r="E64" s="37">
        <v>5963</v>
      </c>
    </row>
    <row r="65" spans="3:5" x14ac:dyDescent="0.3">
      <c r="C65" s="33">
        <v>46034</v>
      </c>
      <c r="D65" s="37">
        <v>16588.849999999999</v>
      </c>
      <c r="E65" s="37">
        <v>8332</v>
      </c>
    </row>
    <row r="66" spans="3:5" x14ac:dyDescent="0.3">
      <c r="C66" s="33">
        <v>46031</v>
      </c>
      <c r="D66" s="37">
        <v>16501</v>
      </c>
      <c r="E66" s="37">
        <v>10180</v>
      </c>
    </row>
    <row r="67" spans="3:5" x14ac:dyDescent="0.3">
      <c r="C67" s="33">
        <v>46030</v>
      </c>
      <c r="D67" s="37">
        <v>16663.8</v>
      </c>
      <c r="E67" s="37">
        <v>11192</v>
      </c>
    </row>
    <row r="68" spans="3:5" x14ac:dyDescent="0.3">
      <c r="C68" s="33">
        <v>46029</v>
      </c>
      <c r="D68" s="37">
        <v>16803.8</v>
      </c>
      <c r="E68" s="37">
        <v>18089</v>
      </c>
    </row>
    <row r="69" spans="3:5" x14ac:dyDescent="0.3">
      <c r="C69" s="33">
        <v>46028</v>
      </c>
      <c r="D69" s="37">
        <v>17294.95</v>
      </c>
      <c r="E69" s="37">
        <v>3964</v>
      </c>
    </row>
    <row r="70" spans="3:5" x14ac:dyDescent="0.3">
      <c r="C70" s="33">
        <v>46027</v>
      </c>
      <c r="D70" s="37">
        <v>17154.099999999999</v>
      </c>
      <c r="E70" s="37">
        <v>8068</v>
      </c>
    </row>
    <row r="71" spans="3:5" x14ac:dyDescent="0.3">
      <c r="C71" s="33">
        <v>46024</v>
      </c>
      <c r="D71" s="37">
        <v>16960.25</v>
      </c>
      <c r="E71" s="37">
        <v>11249</v>
      </c>
    </row>
    <row r="72" spans="3:5" x14ac:dyDescent="0.3">
      <c r="C72" s="33">
        <v>46023</v>
      </c>
      <c r="D72" s="37">
        <v>16715.2</v>
      </c>
      <c r="E72" s="37">
        <v>8837</v>
      </c>
    </row>
    <row r="73" spans="3:5" x14ac:dyDescent="0.3">
      <c r="C73" s="33">
        <v>46022</v>
      </c>
      <c r="D73" s="37">
        <v>16704.25</v>
      </c>
      <c r="E73" s="37">
        <v>7495</v>
      </c>
    </row>
    <row r="74" spans="3:5" x14ac:dyDescent="0.3">
      <c r="C74" s="33">
        <v>46021</v>
      </c>
      <c r="D74" s="37">
        <v>16603.900000000001</v>
      </c>
      <c r="E74" s="37">
        <v>42326</v>
      </c>
    </row>
    <row r="75" spans="3:5" x14ac:dyDescent="0.3">
      <c r="C75" s="33">
        <v>46020</v>
      </c>
      <c r="D75" s="37">
        <v>16560.150000000001</v>
      </c>
      <c r="E75" s="37">
        <v>21965</v>
      </c>
    </row>
    <row r="76" spans="3:5" x14ac:dyDescent="0.3">
      <c r="C76" s="33">
        <v>46017</v>
      </c>
      <c r="D76" s="37">
        <v>16589.8</v>
      </c>
      <c r="E76" s="37">
        <v>5782</v>
      </c>
    </row>
    <row r="77" spans="3:5" x14ac:dyDescent="0.3">
      <c r="C77" s="33">
        <v>46015</v>
      </c>
      <c r="D77" s="37">
        <v>16707.900000000001</v>
      </c>
      <c r="E77" s="37">
        <v>6426</v>
      </c>
    </row>
    <row r="78" spans="3:5" x14ac:dyDescent="0.3">
      <c r="C78" s="33">
        <v>46014</v>
      </c>
      <c r="D78" s="37">
        <v>16577.150000000001</v>
      </c>
      <c r="E78" s="37">
        <v>2759</v>
      </c>
    </row>
    <row r="79" spans="3:5" x14ac:dyDescent="0.3">
      <c r="C79" s="33">
        <v>46013</v>
      </c>
      <c r="D79" s="37">
        <v>16641.25</v>
      </c>
      <c r="E79" s="37">
        <v>19977</v>
      </c>
    </row>
    <row r="80" spans="3:5" x14ac:dyDescent="0.3">
      <c r="C80" s="33">
        <v>46010</v>
      </c>
      <c r="D80" s="37">
        <v>16425.2</v>
      </c>
      <c r="E80" s="37">
        <v>3337</v>
      </c>
    </row>
    <row r="81" spans="3:10" x14ac:dyDescent="0.3">
      <c r="C81" s="33">
        <v>46009</v>
      </c>
      <c r="D81" s="37">
        <v>16337.2</v>
      </c>
      <c r="E81" s="37">
        <v>7886</v>
      </c>
    </row>
    <row r="82" spans="3:10" x14ac:dyDescent="0.3">
      <c r="C82" s="33">
        <v>46008</v>
      </c>
      <c r="D82" s="37">
        <v>16393.400000000001</v>
      </c>
      <c r="E82" s="37">
        <v>3114</v>
      </c>
    </row>
    <row r="83" spans="3:10" x14ac:dyDescent="0.3">
      <c r="C83" s="33">
        <v>46007</v>
      </c>
      <c r="D83" s="37">
        <v>16349.95</v>
      </c>
      <c r="E83" s="37">
        <v>10444</v>
      </c>
    </row>
    <row r="84" spans="3:10" x14ac:dyDescent="0.3">
      <c r="C84" s="33">
        <v>46006</v>
      </c>
      <c r="D84" s="37">
        <v>16403.150000000001</v>
      </c>
      <c r="E84" s="37">
        <v>14485</v>
      </c>
    </row>
    <row r="85" spans="3:10" x14ac:dyDescent="0.3">
      <c r="C85" s="33">
        <v>46003</v>
      </c>
      <c r="D85" s="37">
        <v>16520.900000000001</v>
      </c>
      <c r="E85" s="37">
        <v>10948</v>
      </c>
    </row>
    <row r="86" spans="3:10" x14ac:dyDescent="0.3">
      <c r="C86" s="33">
        <v>46002</v>
      </c>
      <c r="D86" s="37">
        <v>16262.75</v>
      </c>
      <c r="E86" s="37">
        <v>10595</v>
      </c>
    </row>
    <row r="87" spans="3:10" x14ac:dyDescent="0.3">
      <c r="C87" s="33">
        <v>46001</v>
      </c>
      <c r="D87" s="37">
        <v>16003.75</v>
      </c>
      <c r="E87" s="37">
        <v>4443</v>
      </c>
    </row>
    <row r="88" spans="3:10" x14ac:dyDescent="0.3">
      <c r="C88" s="33">
        <v>46000</v>
      </c>
      <c r="D88" s="37">
        <v>16012.3</v>
      </c>
      <c r="E88" s="37">
        <v>2334</v>
      </c>
    </row>
    <row r="89" spans="3:10" x14ac:dyDescent="0.3">
      <c r="C89" s="33">
        <v>45999</v>
      </c>
      <c r="D89" s="37">
        <v>16182.2</v>
      </c>
      <c r="E89" s="37">
        <v>2393</v>
      </c>
    </row>
    <row r="90" spans="3:10" x14ac:dyDescent="0.3">
      <c r="C90" s="33">
        <v>45996</v>
      </c>
      <c r="D90" s="37">
        <v>16277.3</v>
      </c>
      <c r="E90" s="37">
        <v>7944</v>
      </c>
    </row>
    <row r="91" spans="3:10" x14ac:dyDescent="0.3">
      <c r="C91" s="33">
        <v>45995</v>
      </c>
      <c r="D91" s="37">
        <v>15997.2</v>
      </c>
      <c r="E91" s="37">
        <v>12099</v>
      </c>
    </row>
    <row r="92" spans="3:10" x14ac:dyDescent="0.3">
      <c r="C92" s="33">
        <v>45994</v>
      </c>
      <c r="D92" s="37">
        <v>16083.75</v>
      </c>
      <c r="E92" s="37">
        <v>5515</v>
      </c>
      <c r="H92" t="s">
        <v>154</v>
      </c>
      <c r="I92" s="5">
        <v>0.113</v>
      </c>
      <c r="J92">
        <v>32.86</v>
      </c>
    </row>
    <row r="93" spans="3:10" x14ac:dyDescent="0.3">
      <c r="C93" s="33">
        <v>45993</v>
      </c>
      <c r="D93" s="37">
        <v>16240.9</v>
      </c>
      <c r="E93" s="37">
        <v>13481</v>
      </c>
      <c r="H93" t="s">
        <v>155</v>
      </c>
      <c r="I93" s="5">
        <v>0.113</v>
      </c>
      <c r="J93">
        <v>24.37</v>
      </c>
    </row>
    <row r="94" spans="3:10" x14ac:dyDescent="0.3">
      <c r="C94" s="33">
        <v>45992</v>
      </c>
      <c r="D94" s="37">
        <v>16116</v>
      </c>
      <c r="E94" s="37">
        <v>5552</v>
      </c>
      <c r="H94" t="s">
        <v>156</v>
      </c>
      <c r="I94" s="5">
        <v>0.113</v>
      </c>
      <c r="J94">
        <v>24.37</v>
      </c>
    </row>
    <row r="95" spans="3:10" x14ac:dyDescent="0.3">
      <c r="C95" s="33">
        <v>45989</v>
      </c>
      <c r="D95" s="37">
        <v>15894.1</v>
      </c>
      <c r="E95" s="37">
        <v>5599</v>
      </c>
      <c r="H95" t="s">
        <v>157</v>
      </c>
      <c r="I95" s="5">
        <v>0.16320000000000001</v>
      </c>
      <c r="J95" t="s">
        <v>159</v>
      </c>
    </row>
    <row r="96" spans="3:10" x14ac:dyDescent="0.3">
      <c r="C96" s="33">
        <v>45988</v>
      </c>
      <c r="D96" s="37">
        <v>15902.6</v>
      </c>
      <c r="E96" s="37">
        <v>12978</v>
      </c>
      <c r="H96" t="s">
        <v>158</v>
      </c>
      <c r="I96" s="5">
        <v>0.1159</v>
      </c>
      <c r="J96" t="s">
        <v>159</v>
      </c>
    </row>
    <row r="97" spans="3:8" x14ac:dyDescent="0.3">
      <c r="C97" s="33">
        <v>45987</v>
      </c>
      <c r="D97" s="37">
        <v>16154.55</v>
      </c>
      <c r="E97" s="37">
        <v>6639</v>
      </c>
    </row>
    <row r="98" spans="3:8" x14ac:dyDescent="0.3">
      <c r="C98" s="33">
        <v>45986</v>
      </c>
      <c r="D98" s="37">
        <v>15882.95</v>
      </c>
      <c r="E98" s="37">
        <v>5654</v>
      </c>
    </row>
    <row r="99" spans="3:8" x14ac:dyDescent="0.3">
      <c r="C99" s="33">
        <v>45985</v>
      </c>
      <c r="D99" s="37">
        <v>15958.35</v>
      </c>
      <c r="E99" s="37">
        <v>5212</v>
      </c>
    </row>
    <row r="100" spans="3:8" x14ac:dyDescent="0.3">
      <c r="C100" s="33">
        <v>45982</v>
      </c>
      <c r="D100" s="37">
        <v>15980.25</v>
      </c>
      <c r="E100" s="37">
        <v>12787</v>
      </c>
      <c r="H100" t="s">
        <v>170</v>
      </c>
    </row>
    <row r="101" spans="3:8" x14ac:dyDescent="0.3">
      <c r="C101" s="33">
        <v>45981</v>
      </c>
      <c r="D101" s="37">
        <v>15799.4</v>
      </c>
      <c r="E101" s="37">
        <v>10354</v>
      </c>
      <c r="H101" t="s">
        <v>171</v>
      </c>
    </row>
    <row r="102" spans="3:8" x14ac:dyDescent="0.3">
      <c r="C102" s="33">
        <v>45980</v>
      </c>
      <c r="D102" s="37">
        <v>15759</v>
      </c>
      <c r="E102" s="37">
        <v>4441</v>
      </c>
      <c r="H102" t="s">
        <v>172</v>
      </c>
    </row>
    <row r="103" spans="3:8" x14ac:dyDescent="0.3">
      <c r="C103" s="33">
        <v>45979</v>
      </c>
      <c r="D103" s="37">
        <v>15928.85</v>
      </c>
      <c r="E103" s="37">
        <v>5373</v>
      </c>
      <c r="H103" t="s">
        <v>173</v>
      </c>
    </row>
    <row r="104" spans="3:8" x14ac:dyDescent="0.3">
      <c r="C104" s="33">
        <v>45978</v>
      </c>
      <c r="D104" s="37">
        <v>15879.45</v>
      </c>
      <c r="E104" s="37">
        <v>4473</v>
      </c>
      <c r="H104" t="s">
        <v>174</v>
      </c>
    </row>
    <row r="105" spans="3:8" x14ac:dyDescent="0.3">
      <c r="C105" s="33">
        <v>45975</v>
      </c>
      <c r="D105" s="37">
        <v>15678.55</v>
      </c>
      <c r="E105" s="37">
        <v>3639</v>
      </c>
      <c r="H105" t="s">
        <v>175</v>
      </c>
    </row>
    <row r="106" spans="3:8" x14ac:dyDescent="0.3">
      <c r="C106" s="33">
        <v>45974</v>
      </c>
      <c r="D106" s="37">
        <v>15755.5</v>
      </c>
      <c r="E106" s="37">
        <v>5264</v>
      </c>
      <c r="H106" t="s">
        <v>176</v>
      </c>
    </row>
    <row r="107" spans="3:8" x14ac:dyDescent="0.3">
      <c r="C107" s="33">
        <v>45973</v>
      </c>
      <c r="D107" s="37">
        <v>15687.1</v>
      </c>
      <c r="E107" s="37">
        <v>4511</v>
      </c>
      <c r="H107" t="s">
        <v>177</v>
      </c>
    </row>
    <row r="108" spans="3:8" x14ac:dyDescent="0.3">
      <c r="C108" s="33">
        <v>45972</v>
      </c>
      <c r="D108" s="37">
        <v>15638.6</v>
      </c>
      <c r="E108" s="37">
        <v>4072</v>
      </c>
      <c r="H108" t="s">
        <v>178</v>
      </c>
    </row>
    <row r="109" spans="3:8" x14ac:dyDescent="0.3">
      <c r="C109" s="33">
        <v>45971</v>
      </c>
      <c r="D109" s="37">
        <v>15582.3</v>
      </c>
      <c r="E109" s="37">
        <v>6230</v>
      </c>
      <c r="H109" t="s">
        <v>179</v>
      </c>
    </row>
    <row r="110" spans="3:8" x14ac:dyDescent="0.3">
      <c r="C110" s="33">
        <v>45968</v>
      </c>
      <c r="D110" s="37">
        <v>15478.1</v>
      </c>
      <c r="E110" s="37">
        <v>47844</v>
      </c>
      <c r="H110" t="s">
        <v>180</v>
      </c>
    </row>
    <row r="111" spans="3:8" x14ac:dyDescent="0.3">
      <c r="C111" s="33">
        <v>45967</v>
      </c>
      <c r="D111" s="37">
        <v>15453.45</v>
      </c>
      <c r="E111" s="37">
        <v>21471</v>
      </c>
      <c r="H111" t="s">
        <v>181</v>
      </c>
    </row>
    <row r="112" spans="3:8" x14ac:dyDescent="0.3">
      <c r="C112" s="33">
        <v>45965</v>
      </c>
      <c r="D112" s="37">
        <v>15370.45</v>
      </c>
      <c r="E112" s="37">
        <v>22427</v>
      </c>
      <c r="H112" t="s">
        <v>182</v>
      </c>
    </row>
    <row r="113" spans="3:8" x14ac:dyDescent="0.3">
      <c r="C113" s="33">
        <v>45964</v>
      </c>
      <c r="D113" s="37">
        <v>15646.15</v>
      </c>
      <c r="E113" s="37">
        <v>43728</v>
      </c>
      <c r="H113" t="s">
        <v>183</v>
      </c>
    </row>
    <row r="114" spans="3:8" x14ac:dyDescent="0.3">
      <c r="C114" s="33">
        <v>45961</v>
      </c>
      <c r="D114" s="37">
        <v>16191.9</v>
      </c>
      <c r="E114" s="37">
        <v>14230</v>
      </c>
    </row>
    <row r="115" spans="3:8" x14ac:dyDescent="0.3">
      <c r="C115" s="33">
        <v>45960</v>
      </c>
      <c r="D115" s="37">
        <v>16205.6</v>
      </c>
      <c r="E115" s="37">
        <v>3965</v>
      </c>
    </row>
    <row r="116" spans="3:8" x14ac:dyDescent="0.3">
      <c r="C116" s="33">
        <v>45959</v>
      </c>
      <c r="D116" s="37">
        <v>16143.65</v>
      </c>
      <c r="E116" s="37">
        <v>5515</v>
      </c>
    </row>
    <row r="117" spans="3:8" x14ac:dyDescent="0.3">
      <c r="C117" s="33">
        <v>45958</v>
      </c>
      <c r="D117" s="37">
        <v>16313.75</v>
      </c>
      <c r="E117" s="37">
        <v>12377</v>
      </c>
    </row>
    <row r="118" spans="3:8" x14ac:dyDescent="0.3">
      <c r="C118" s="33">
        <v>45957</v>
      </c>
      <c r="D118" s="37">
        <v>16383.8</v>
      </c>
      <c r="E118" s="37">
        <v>3351</v>
      </c>
    </row>
    <row r="119" spans="3:8" x14ac:dyDescent="0.3">
      <c r="C119" s="33">
        <v>45954</v>
      </c>
      <c r="D119" s="37">
        <v>16263.35</v>
      </c>
      <c r="E119" s="37">
        <v>2401</v>
      </c>
    </row>
    <row r="120" spans="3:8" x14ac:dyDescent="0.3">
      <c r="C120" s="33">
        <v>45953</v>
      </c>
      <c r="D120" s="37">
        <v>16383.3</v>
      </c>
      <c r="E120" s="37">
        <v>23888</v>
      </c>
    </row>
    <row r="121" spans="3:8" x14ac:dyDescent="0.3">
      <c r="C121" s="33">
        <v>45951</v>
      </c>
      <c r="D121" s="37">
        <v>16389.5</v>
      </c>
      <c r="E121" s="37">
        <v>2729</v>
      </c>
    </row>
    <row r="122" spans="3:8" x14ac:dyDescent="0.3">
      <c r="C122" s="33">
        <v>45950</v>
      </c>
      <c r="D122" s="37">
        <v>16432.599999999999</v>
      </c>
      <c r="E122" s="37">
        <v>70512</v>
      </c>
    </row>
    <row r="123" spans="3:8" x14ac:dyDescent="0.3">
      <c r="C123" s="33">
        <v>45947</v>
      </c>
      <c r="D123" s="37">
        <v>16399.900000000001</v>
      </c>
      <c r="E123" s="37">
        <v>21866</v>
      </c>
    </row>
    <row r="124" spans="3:8" x14ac:dyDescent="0.3">
      <c r="C124" s="33">
        <v>45946</v>
      </c>
      <c r="D124" s="37">
        <v>16295.5</v>
      </c>
      <c r="E124" s="37">
        <v>25712</v>
      </c>
    </row>
    <row r="125" spans="3:8" x14ac:dyDescent="0.3">
      <c r="C125" s="33">
        <v>45945</v>
      </c>
      <c r="D125" s="37">
        <v>16219.6</v>
      </c>
      <c r="E125" s="37">
        <v>5329</v>
      </c>
    </row>
    <row r="126" spans="3:8" x14ac:dyDescent="0.3">
      <c r="C126" s="33">
        <v>45944</v>
      </c>
      <c r="D126" s="37">
        <v>16255.25</v>
      </c>
      <c r="E126" s="37">
        <v>4906</v>
      </c>
    </row>
    <row r="127" spans="3:8" x14ac:dyDescent="0.3">
      <c r="C127" s="33">
        <v>45943</v>
      </c>
      <c r="D127" s="37">
        <v>16315.4</v>
      </c>
      <c r="E127" s="37">
        <v>14478</v>
      </c>
    </row>
    <row r="128" spans="3:8" x14ac:dyDescent="0.3">
      <c r="C128" s="33">
        <v>45940</v>
      </c>
      <c r="D128" s="37">
        <v>16276.05</v>
      </c>
      <c r="E128" s="37">
        <v>6309</v>
      </c>
    </row>
    <row r="129" spans="3:5" x14ac:dyDescent="0.3">
      <c r="C129" s="33">
        <v>45939</v>
      </c>
      <c r="D129" s="37">
        <v>15976.5</v>
      </c>
      <c r="E129" s="37">
        <v>4182</v>
      </c>
    </row>
    <row r="130" spans="3:5" x14ac:dyDescent="0.3">
      <c r="C130" s="33">
        <v>45938</v>
      </c>
      <c r="D130" s="37">
        <v>16010.65</v>
      </c>
      <c r="E130" s="37">
        <v>11283</v>
      </c>
    </row>
    <row r="131" spans="3:5" x14ac:dyDescent="0.3">
      <c r="C131" s="33">
        <v>45937</v>
      </c>
      <c r="D131" s="37">
        <v>16107</v>
      </c>
      <c r="E131" s="37">
        <v>5288</v>
      </c>
    </row>
    <row r="132" spans="3:5" x14ac:dyDescent="0.3">
      <c r="C132" s="33">
        <v>45936</v>
      </c>
      <c r="D132" s="37">
        <v>16004.35</v>
      </c>
      <c r="E132" s="37">
        <v>18866</v>
      </c>
    </row>
    <row r="133" spans="3:5" x14ac:dyDescent="0.3">
      <c r="C133" s="33">
        <v>45933</v>
      </c>
      <c r="D133" s="37">
        <v>15805.45</v>
      </c>
      <c r="E133" s="37">
        <v>10486</v>
      </c>
    </row>
    <row r="134" spans="3:5" x14ac:dyDescent="0.3">
      <c r="C134" s="33">
        <v>45931</v>
      </c>
      <c r="D134" s="37">
        <v>15971.2</v>
      </c>
      <c r="E134" s="37">
        <v>15368</v>
      </c>
    </row>
    <row r="135" spans="3:5" x14ac:dyDescent="0.3">
      <c r="C135" s="33">
        <v>45930</v>
      </c>
      <c r="D135" s="37">
        <v>16028.55</v>
      </c>
      <c r="E135" s="37">
        <v>9334</v>
      </c>
    </row>
    <row r="136" spans="3:5" x14ac:dyDescent="0.3">
      <c r="C136" s="33">
        <v>45929</v>
      </c>
      <c r="D136" s="37">
        <v>15998.05</v>
      </c>
      <c r="E136" s="37">
        <v>14544</v>
      </c>
    </row>
    <row r="137" spans="3:5" x14ac:dyDescent="0.3">
      <c r="C137" s="33">
        <v>45926</v>
      </c>
      <c r="D137" s="37">
        <v>16266.7</v>
      </c>
      <c r="E137" s="37">
        <v>23723</v>
      </c>
    </row>
    <row r="138" spans="3:5" x14ac:dyDescent="0.3">
      <c r="C138" s="33">
        <v>45925</v>
      </c>
      <c r="D138" s="37">
        <v>16270.45</v>
      </c>
      <c r="E138" s="37">
        <v>18065</v>
      </c>
    </row>
    <row r="139" spans="3:5" x14ac:dyDescent="0.3">
      <c r="C139" s="33">
        <v>45924</v>
      </c>
      <c r="D139" s="37">
        <v>16246.5</v>
      </c>
      <c r="E139" s="37">
        <v>12683</v>
      </c>
    </row>
    <row r="140" spans="3:5" x14ac:dyDescent="0.3">
      <c r="C140" s="33">
        <v>45923</v>
      </c>
      <c r="D140" s="37">
        <v>16097.95</v>
      </c>
      <c r="E140" s="37">
        <v>28507</v>
      </c>
    </row>
    <row r="141" spans="3:5" x14ac:dyDescent="0.3">
      <c r="C141" s="33">
        <v>45922</v>
      </c>
      <c r="D141" s="37">
        <v>15808.35</v>
      </c>
      <c r="E141" s="37">
        <v>13200</v>
      </c>
    </row>
    <row r="142" spans="3:5" x14ac:dyDescent="0.3">
      <c r="C142" s="33">
        <v>45919</v>
      </c>
      <c r="D142" s="37">
        <v>15870.9</v>
      </c>
      <c r="E142" s="37">
        <v>12919</v>
      </c>
    </row>
    <row r="143" spans="3:5" x14ac:dyDescent="0.3">
      <c r="C143" s="33">
        <v>45918</v>
      </c>
      <c r="D143" s="37">
        <v>15818.65</v>
      </c>
      <c r="E143" s="37">
        <v>19440</v>
      </c>
    </row>
    <row r="144" spans="3:5" x14ac:dyDescent="0.3">
      <c r="C144" s="33">
        <v>45917</v>
      </c>
      <c r="D144" s="37">
        <v>15800.3</v>
      </c>
      <c r="E144" s="37">
        <v>32570</v>
      </c>
    </row>
    <row r="145" spans="3:5" x14ac:dyDescent="0.3">
      <c r="C145" s="33">
        <v>45916</v>
      </c>
      <c r="D145" s="37">
        <v>15571.35</v>
      </c>
      <c r="E145" s="37">
        <v>9448</v>
      </c>
    </row>
    <row r="146" spans="3:5" x14ac:dyDescent="0.3">
      <c r="C146" s="33">
        <v>45915</v>
      </c>
      <c r="D146" s="37">
        <v>15263.15</v>
      </c>
      <c r="E146" s="37">
        <v>8709</v>
      </c>
    </row>
    <row r="147" spans="3:5" x14ac:dyDescent="0.3">
      <c r="C147" s="33">
        <v>45912</v>
      </c>
      <c r="D147" s="37">
        <v>15324.9</v>
      </c>
      <c r="E147" s="37">
        <v>24502</v>
      </c>
    </row>
    <row r="148" spans="3:5" x14ac:dyDescent="0.3">
      <c r="C148" s="33">
        <v>45911</v>
      </c>
      <c r="D148" s="37">
        <v>15096.35</v>
      </c>
      <c r="E148" s="37">
        <v>26497</v>
      </c>
    </row>
    <row r="149" spans="3:5" x14ac:dyDescent="0.3">
      <c r="C149" s="33">
        <v>45910</v>
      </c>
      <c r="D149" s="37">
        <v>15123.4</v>
      </c>
      <c r="E149" s="37">
        <v>49205</v>
      </c>
    </row>
    <row r="150" spans="3:5" x14ac:dyDescent="0.3">
      <c r="C150" s="33">
        <v>45909</v>
      </c>
      <c r="D150" s="37">
        <v>15361.4</v>
      </c>
      <c r="E150" s="37">
        <v>26668</v>
      </c>
    </row>
    <row r="151" spans="3:5" x14ac:dyDescent="0.3">
      <c r="C151" s="33">
        <v>45908</v>
      </c>
      <c r="D151" s="37">
        <v>15258.1</v>
      </c>
      <c r="E151" s="37">
        <v>20498</v>
      </c>
    </row>
    <row r="152" spans="3:5" x14ac:dyDescent="0.3">
      <c r="C152" s="33">
        <v>45905</v>
      </c>
      <c r="D152" s="37">
        <v>14904.5</v>
      </c>
      <c r="E152" s="37">
        <v>11330</v>
      </c>
    </row>
    <row r="153" spans="3:5" x14ac:dyDescent="0.3">
      <c r="C153" s="33">
        <v>45904</v>
      </c>
      <c r="D153" s="37">
        <v>14655.65</v>
      </c>
      <c r="E153" s="37">
        <v>76497</v>
      </c>
    </row>
    <row r="154" spans="3:5" x14ac:dyDescent="0.3">
      <c r="C154" s="33">
        <v>45903</v>
      </c>
      <c r="D154" s="37">
        <v>14921</v>
      </c>
      <c r="E154" s="37">
        <v>13312</v>
      </c>
    </row>
    <row r="155" spans="3:5" x14ac:dyDescent="0.3">
      <c r="C155" s="33">
        <v>45902</v>
      </c>
      <c r="D155" s="37">
        <v>14846.45</v>
      </c>
      <c r="E155" s="37">
        <v>8064</v>
      </c>
    </row>
    <row r="156" spans="3:5" x14ac:dyDescent="0.3">
      <c r="C156" s="33">
        <v>45901</v>
      </c>
      <c r="D156" s="37">
        <v>14880.05</v>
      </c>
      <c r="E156" s="37">
        <v>6780</v>
      </c>
    </row>
    <row r="157" spans="3:5" x14ac:dyDescent="0.3">
      <c r="C157" s="33">
        <v>45898</v>
      </c>
      <c r="D157" s="37">
        <v>14789.95</v>
      </c>
      <c r="E157" s="37">
        <v>40660</v>
      </c>
    </row>
    <row r="158" spans="3:5" x14ac:dyDescent="0.3">
      <c r="C158" s="33">
        <v>45897</v>
      </c>
      <c r="D158" s="37">
        <v>14760.6</v>
      </c>
      <c r="E158" s="37">
        <v>7293</v>
      </c>
    </row>
    <row r="159" spans="3:5" x14ac:dyDescent="0.3">
      <c r="C159" s="33">
        <v>45895</v>
      </c>
      <c r="D159" s="37">
        <v>14711.3</v>
      </c>
      <c r="E159" s="37">
        <v>34287</v>
      </c>
    </row>
    <row r="160" spans="3:5" x14ac:dyDescent="0.3">
      <c r="C160" s="33">
        <v>45894</v>
      </c>
      <c r="D160" s="37">
        <v>14458.15</v>
      </c>
      <c r="E160" s="37">
        <v>8097</v>
      </c>
    </row>
    <row r="161" spans="3:5" x14ac:dyDescent="0.3">
      <c r="C161" s="33">
        <v>45891</v>
      </c>
      <c r="D161" s="37">
        <v>14351.05</v>
      </c>
      <c r="E161" s="37">
        <v>7756</v>
      </c>
    </row>
    <row r="162" spans="3:5" x14ac:dyDescent="0.3">
      <c r="C162" s="33">
        <v>45890</v>
      </c>
      <c r="D162" s="37">
        <v>14282.4</v>
      </c>
      <c r="E162" s="37">
        <v>7817</v>
      </c>
    </row>
    <row r="163" spans="3:5" x14ac:dyDescent="0.3">
      <c r="C163" s="33">
        <v>45889</v>
      </c>
      <c r="D163" s="37">
        <v>14211.75</v>
      </c>
      <c r="E163" s="37">
        <v>16156</v>
      </c>
    </row>
    <row r="164" spans="3:5" x14ac:dyDescent="0.3">
      <c r="C164" s="33">
        <v>45888</v>
      </c>
      <c r="D164" s="37">
        <v>14248.5</v>
      </c>
      <c r="E164" s="37">
        <v>27757</v>
      </c>
    </row>
    <row r="165" spans="3:5" x14ac:dyDescent="0.3">
      <c r="C165" s="33">
        <v>45887</v>
      </c>
      <c r="D165" s="37">
        <v>14075.3</v>
      </c>
      <c r="E165" s="37">
        <v>63175</v>
      </c>
    </row>
    <row r="166" spans="3:5" x14ac:dyDescent="0.3">
      <c r="C166" s="33">
        <v>45883</v>
      </c>
      <c r="D166" s="37">
        <v>12920.45</v>
      </c>
      <c r="E166" s="37">
        <v>8387</v>
      </c>
    </row>
    <row r="167" spans="3:5" x14ac:dyDescent="0.3">
      <c r="C167" s="33">
        <v>45882</v>
      </c>
      <c r="D167" s="37">
        <v>12830.7</v>
      </c>
      <c r="E167" s="37">
        <v>17373</v>
      </c>
    </row>
    <row r="168" spans="3:5" x14ac:dyDescent="0.3">
      <c r="C168" s="33">
        <v>45881</v>
      </c>
      <c r="D168" s="37">
        <v>12837.85</v>
      </c>
      <c r="E168" s="37">
        <v>9265</v>
      </c>
    </row>
    <row r="169" spans="3:5" x14ac:dyDescent="0.3">
      <c r="C169" s="33">
        <v>45880</v>
      </c>
      <c r="D169" s="37">
        <v>12583.8</v>
      </c>
      <c r="E169" s="37">
        <v>2134</v>
      </c>
    </row>
    <row r="170" spans="3:5" x14ac:dyDescent="0.3">
      <c r="C170" s="33">
        <v>45877</v>
      </c>
      <c r="D170" s="37">
        <v>12578.9</v>
      </c>
      <c r="E170" s="37">
        <v>8350</v>
      </c>
    </row>
    <row r="171" spans="3:5" x14ac:dyDescent="0.3">
      <c r="C171" s="33">
        <v>45876</v>
      </c>
      <c r="D171" s="37">
        <v>12625.6</v>
      </c>
      <c r="E171" s="37">
        <v>3397</v>
      </c>
    </row>
    <row r="172" spans="3:5" x14ac:dyDescent="0.3">
      <c r="C172" s="33">
        <v>45875</v>
      </c>
      <c r="D172" s="37">
        <v>12525.15</v>
      </c>
      <c r="E172" s="37">
        <v>8931</v>
      </c>
    </row>
    <row r="173" spans="3:5" x14ac:dyDescent="0.3">
      <c r="C173" s="33">
        <v>45874</v>
      </c>
      <c r="D173" s="37">
        <v>12524.5</v>
      </c>
      <c r="E173" s="37">
        <v>7555</v>
      </c>
    </row>
    <row r="174" spans="3:5" x14ac:dyDescent="0.3">
      <c r="C174" s="33">
        <v>45873</v>
      </c>
      <c r="D174" s="37">
        <v>12363.85</v>
      </c>
      <c r="E174" s="37">
        <v>4079</v>
      </c>
    </row>
    <row r="175" spans="3:5" x14ac:dyDescent="0.3">
      <c r="C175" s="33">
        <v>45870</v>
      </c>
      <c r="D175" s="37">
        <v>12299.35</v>
      </c>
      <c r="E175" s="37">
        <v>12925</v>
      </c>
    </row>
    <row r="176" spans="3:5" x14ac:dyDescent="0.3">
      <c r="C176" s="33">
        <v>45869</v>
      </c>
      <c r="D176" s="37">
        <v>12499.45</v>
      </c>
      <c r="E176" s="37">
        <v>8798</v>
      </c>
    </row>
    <row r="177" spans="3:5" x14ac:dyDescent="0.3">
      <c r="C177" s="33">
        <v>45868</v>
      </c>
      <c r="D177" s="37">
        <v>12487.48</v>
      </c>
      <c r="E177" s="37">
        <v>5752</v>
      </c>
    </row>
    <row r="178" spans="3:5" x14ac:dyDescent="0.3">
      <c r="C178" s="33">
        <v>45867</v>
      </c>
      <c r="D178" s="37">
        <v>12341.01</v>
      </c>
      <c r="E178" s="37">
        <v>3627</v>
      </c>
    </row>
    <row r="179" spans="3:5" x14ac:dyDescent="0.3">
      <c r="C179" s="33">
        <v>45866</v>
      </c>
      <c r="D179" s="37">
        <v>12204.19</v>
      </c>
      <c r="E179" s="37">
        <v>4042</v>
      </c>
    </row>
    <row r="180" spans="3:5" x14ac:dyDescent="0.3">
      <c r="C180" s="33">
        <v>45863</v>
      </c>
      <c r="D180" s="37">
        <v>12267.75</v>
      </c>
      <c r="E180" s="37">
        <v>4904</v>
      </c>
    </row>
    <row r="181" spans="3:5" x14ac:dyDescent="0.3">
      <c r="C181" s="33">
        <v>45862</v>
      </c>
      <c r="D181" s="37">
        <v>12419.96</v>
      </c>
      <c r="E181" s="37">
        <v>1445</v>
      </c>
    </row>
    <row r="182" spans="3:5" x14ac:dyDescent="0.3">
      <c r="C182" s="33">
        <v>45861</v>
      </c>
      <c r="D182" s="37">
        <v>12490.6</v>
      </c>
      <c r="E182" s="37">
        <v>20927</v>
      </c>
    </row>
    <row r="183" spans="3:5" x14ac:dyDescent="0.3">
      <c r="C183" s="33">
        <v>45860</v>
      </c>
      <c r="D183" s="37">
        <v>12363.57</v>
      </c>
      <c r="E183" s="37">
        <v>2027</v>
      </c>
    </row>
    <row r="184" spans="3:5" x14ac:dyDescent="0.3">
      <c r="C184" s="33">
        <v>45859</v>
      </c>
      <c r="D184" s="37">
        <v>12269.78</v>
      </c>
      <c r="E184" s="37">
        <v>4755</v>
      </c>
    </row>
    <row r="185" spans="3:5" x14ac:dyDescent="0.3">
      <c r="C185" s="33">
        <v>45856</v>
      </c>
      <c r="D185" s="37">
        <v>12289.96</v>
      </c>
      <c r="E185" s="37">
        <v>2853</v>
      </c>
    </row>
    <row r="186" spans="3:5" x14ac:dyDescent="0.3">
      <c r="C186" s="33">
        <v>45855</v>
      </c>
      <c r="D186" s="37">
        <v>12344.77</v>
      </c>
      <c r="E186" s="37">
        <v>5272</v>
      </c>
    </row>
    <row r="187" spans="3:5" x14ac:dyDescent="0.3">
      <c r="C187" s="33">
        <v>45854</v>
      </c>
      <c r="D187" s="37">
        <v>12431.33</v>
      </c>
      <c r="E187" s="37">
        <v>1660</v>
      </c>
    </row>
    <row r="188" spans="3:5" x14ac:dyDescent="0.3">
      <c r="C188" s="33">
        <v>45853</v>
      </c>
      <c r="D188" s="37">
        <v>12401.01</v>
      </c>
      <c r="E188" s="37">
        <v>7540</v>
      </c>
    </row>
    <row r="189" spans="3:5" x14ac:dyDescent="0.3">
      <c r="C189" s="33">
        <v>45852</v>
      </c>
      <c r="D189" s="37">
        <v>12381.77</v>
      </c>
      <c r="E189" s="37">
        <v>2764</v>
      </c>
    </row>
    <row r="190" spans="3:5" x14ac:dyDescent="0.3">
      <c r="C190" s="33">
        <v>45849</v>
      </c>
      <c r="D190" s="37">
        <v>12443.11</v>
      </c>
      <c r="E190" s="37">
        <v>4578</v>
      </c>
    </row>
    <row r="191" spans="3:5" x14ac:dyDescent="0.3">
      <c r="C191" s="33">
        <v>45848</v>
      </c>
      <c r="D191" s="37">
        <v>12512.76</v>
      </c>
      <c r="E191" s="37">
        <v>5771</v>
      </c>
    </row>
    <row r="192" spans="3:5" x14ac:dyDescent="0.3">
      <c r="C192" s="33">
        <v>45847</v>
      </c>
      <c r="D192" s="37">
        <v>12335.37</v>
      </c>
      <c r="E192" s="37">
        <v>4375</v>
      </c>
    </row>
    <row r="193" spans="3:5" x14ac:dyDescent="0.3">
      <c r="C193" s="33">
        <v>45846</v>
      </c>
      <c r="D193" s="37">
        <v>12287.14</v>
      </c>
      <c r="E193" s="37">
        <v>3544</v>
      </c>
    </row>
    <row r="194" spans="3:5" x14ac:dyDescent="0.3">
      <c r="C194" s="33">
        <v>45845</v>
      </c>
      <c r="D194" s="37">
        <v>12387.16</v>
      </c>
      <c r="E194" s="37">
        <v>4364</v>
      </c>
    </row>
    <row r="195" spans="3:5" x14ac:dyDescent="0.3">
      <c r="C195" s="33">
        <v>45842</v>
      </c>
      <c r="D195" s="37">
        <v>12513.6</v>
      </c>
      <c r="E195" s="37">
        <v>4525</v>
      </c>
    </row>
    <row r="196" spans="3:5" x14ac:dyDescent="0.3">
      <c r="C196" s="33">
        <v>45841</v>
      </c>
      <c r="D196" s="37">
        <v>12616.19</v>
      </c>
      <c r="E196" s="37">
        <v>14430</v>
      </c>
    </row>
    <row r="197" spans="3:5" x14ac:dyDescent="0.3">
      <c r="C197" s="33">
        <v>45840</v>
      </c>
      <c r="D197" s="37">
        <v>12489.66</v>
      </c>
      <c r="E197" s="37">
        <v>9413</v>
      </c>
    </row>
    <row r="198" spans="3:5" x14ac:dyDescent="0.3">
      <c r="C198" s="33">
        <v>45839</v>
      </c>
      <c r="D198" s="37">
        <v>12310.09</v>
      </c>
      <c r="E198" s="37">
        <v>4435</v>
      </c>
    </row>
    <row r="199" spans="3:5" x14ac:dyDescent="0.3">
      <c r="C199" s="33">
        <v>45838</v>
      </c>
      <c r="D199" s="37">
        <v>12266.47</v>
      </c>
      <c r="E199" s="37">
        <v>6389</v>
      </c>
    </row>
    <row r="200" spans="3:5" x14ac:dyDescent="0.3">
      <c r="C200" s="33">
        <v>45835</v>
      </c>
      <c r="D200" s="37">
        <v>12509.79</v>
      </c>
      <c r="E200" s="37">
        <v>2888</v>
      </c>
    </row>
    <row r="201" spans="3:5" x14ac:dyDescent="0.3">
      <c r="C201" s="33">
        <v>45834</v>
      </c>
      <c r="D201" s="37">
        <v>12580.57</v>
      </c>
      <c r="E201" s="37">
        <v>2813</v>
      </c>
    </row>
    <row r="202" spans="3:5" x14ac:dyDescent="0.3">
      <c r="C202" s="33">
        <v>45833</v>
      </c>
      <c r="D202" s="37">
        <v>12629.94</v>
      </c>
      <c r="E202" s="37">
        <v>2505</v>
      </c>
    </row>
    <row r="203" spans="3:5" x14ac:dyDescent="0.3">
      <c r="C203" s="33">
        <v>45832</v>
      </c>
      <c r="D203" s="37">
        <v>12475.76</v>
      </c>
      <c r="E203" s="37">
        <v>36425</v>
      </c>
    </row>
    <row r="204" spans="3:5" x14ac:dyDescent="0.3">
      <c r="C204" s="33">
        <v>45831</v>
      </c>
      <c r="D204" s="37">
        <v>12566.38</v>
      </c>
      <c r="E204" s="37">
        <v>6028</v>
      </c>
    </row>
    <row r="205" spans="3:5" x14ac:dyDescent="0.3">
      <c r="C205" s="33">
        <v>45828</v>
      </c>
      <c r="D205" s="37">
        <v>12669.32</v>
      </c>
      <c r="E205" s="37">
        <v>16524</v>
      </c>
    </row>
    <row r="206" spans="3:5" x14ac:dyDescent="0.3">
      <c r="C206" s="33">
        <v>45827</v>
      </c>
      <c r="D206" s="37">
        <v>12669.32</v>
      </c>
      <c r="E206" s="37">
        <v>3893</v>
      </c>
    </row>
    <row r="207" spans="3:5" x14ac:dyDescent="0.3">
      <c r="C207" s="33">
        <v>45826</v>
      </c>
      <c r="D207" s="37">
        <v>12605.55</v>
      </c>
      <c r="E207" s="37">
        <v>25834</v>
      </c>
    </row>
    <row r="208" spans="3:5" x14ac:dyDescent="0.3">
      <c r="C208" s="33">
        <v>45825</v>
      </c>
      <c r="D208" s="37">
        <v>12460.77</v>
      </c>
      <c r="E208" s="37">
        <v>5692</v>
      </c>
    </row>
    <row r="209" spans="3:5" x14ac:dyDescent="0.3">
      <c r="C209" s="33">
        <v>45824</v>
      </c>
      <c r="D209" s="37">
        <v>12401.31</v>
      </c>
      <c r="E209" s="37">
        <v>6922</v>
      </c>
    </row>
    <row r="210" spans="3:5" x14ac:dyDescent="0.3">
      <c r="C210" s="33">
        <v>45821</v>
      </c>
      <c r="D210" s="37">
        <v>12278.83</v>
      </c>
      <c r="E210" s="37">
        <v>4060</v>
      </c>
    </row>
    <row r="211" spans="3:5" x14ac:dyDescent="0.3">
      <c r="C211" s="33">
        <v>45820</v>
      </c>
      <c r="D211" s="37">
        <v>12249.99</v>
      </c>
      <c r="E211" s="37">
        <v>2490</v>
      </c>
    </row>
    <row r="212" spans="3:5" x14ac:dyDescent="0.3">
      <c r="C212" s="33">
        <v>45819</v>
      </c>
      <c r="D212" s="37">
        <v>12318.6</v>
      </c>
      <c r="E212" s="37">
        <v>6023</v>
      </c>
    </row>
    <row r="213" spans="3:5" x14ac:dyDescent="0.3">
      <c r="C213" s="33">
        <v>45818</v>
      </c>
      <c r="D213" s="37">
        <v>12400.17</v>
      </c>
      <c r="E213" s="37">
        <v>18602</v>
      </c>
    </row>
    <row r="214" spans="3:5" x14ac:dyDescent="0.3">
      <c r="C214" s="33">
        <v>45817</v>
      </c>
      <c r="D214" s="37">
        <v>12502.91</v>
      </c>
      <c r="E214" s="37">
        <v>3800</v>
      </c>
    </row>
    <row r="215" spans="3:5" x14ac:dyDescent="0.3">
      <c r="C215" s="33">
        <v>45814</v>
      </c>
      <c r="D215" s="37">
        <v>12326.57</v>
      </c>
      <c r="E215" s="37">
        <v>6917</v>
      </c>
    </row>
    <row r="216" spans="3:5" x14ac:dyDescent="0.3">
      <c r="C216" s="33">
        <v>45813</v>
      </c>
      <c r="D216" s="37">
        <v>11993.86</v>
      </c>
      <c r="E216" s="37">
        <v>6873</v>
      </c>
    </row>
    <row r="217" spans="3:5" x14ac:dyDescent="0.3">
      <c r="C217" s="33">
        <v>45812</v>
      </c>
      <c r="D217" s="37">
        <v>12034.27</v>
      </c>
      <c r="E217" s="37">
        <v>3455</v>
      </c>
    </row>
    <row r="218" spans="3:5" x14ac:dyDescent="0.3">
      <c r="C218" s="33">
        <v>45811</v>
      </c>
      <c r="D218" s="37">
        <v>11997.52</v>
      </c>
      <c r="E218" s="37">
        <v>9690</v>
      </c>
    </row>
    <row r="219" spans="3:5" x14ac:dyDescent="0.3">
      <c r="C219" s="33">
        <v>45810</v>
      </c>
      <c r="D219" s="37">
        <v>12159.03</v>
      </c>
      <c r="E219" s="37">
        <v>4630</v>
      </c>
    </row>
    <row r="220" spans="3:5" x14ac:dyDescent="0.3">
      <c r="C220" s="33">
        <v>45807</v>
      </c>
      <c r="D220" s="37">
        <v>12185.94</v>
      </c>
      <c r="E220" s="37">
        <v>2710</v>
      </c>
    </row>
    <row r="221" spans="3:5" x14ac:dyDescent="0.3">
      <c r="C221" s="33">
        <v>45806</v>
      </c>
      <c r="D221" s="37">
        <v>12253.56</v>
      </c>
      <c r="E221" s="37">
        <v>2534</v>
      </c>
    </row>
    <row r="222" spans="3:5" x14ac:dyDescent="0.3">
      <c r="C222" s="33">
        <v>45805</v>
      </c>
      <c r="D222" s="37">
        <v>12197.91</v>
      </c>
      <c r="E222" s="37">
        <v>2739</v>
      </c>
    </row>
    <row r="223" spans="3:5" x14ac:dyDescent="0.3">
      <c r="C223" s="33">
        <v>45804</v>
      </c>
      <c r="D223" s="37">
        <v>12285.36</v>
      </c>
      <c r="E223" s="37">
        <v>13191</v>
      </c>
    </row>
    <row r="224" spans="3:5" x14ac:dyDescent="0.3">
      <c r="C224" s="33">
        <v>45803</v>
      </c>
      <c r="D224" s="37">
        <v>12283.19</v>
      </c>
      <c r="E224" s="37">
        <v>2907</v>
      </c>
    </row>
    <row r="225" spans="3:5" x14ac:dyDescent="0.3">
      <c r="C225" s="33">
        <v>45800</v>
      </c>
      <c r="D225" s="37">
        <v>12319.05</v>
      </c>
      <c r="E225" s="37">
        <v>2526</v>
      </c>
    </row>
    <row r="226" spans="3:5" x14ac:dyDescent="0.3">
      <c r="C226" s="33">
        <v>45799</v>
      </c>
      <c r="D226" s="37">
        <v>12312.86</v>
      </c>
      <c r="E226" s="37">
        <v>2750</v>
      </c>
    </row>
    <row r="227" spans="3:5" x14ac:dyDescent="0.3">
      <c r="C227" s="33">
        <v>45798</v>
      </c>
      <c r="D227" s="37">
        <v>12478.08</v>
      </c>
      <c r="E227" s="37">
        <v>3851</v>
      </c>
    </row>
    <row r="228" spans="3:5" x14ac:dyDescent="0.3">
      <c r="C228" s="33">
        <v>45797</v>
      </c>
      <c r="D228" s="37">
        <v>12510.58</v>
      </c>
      <c r="E228" s="37">
        <v>5013</v>
      </c>
    </row>
    <row r="229" spans="3:5" x14ac:dyDescent="0.3">
      <c r="C229" s="33">
        <v>45796</v>
      </c>
      <c r="D229" s="37">
        <v>12849.17</v>
      </c>
      <c r="E229" s="37">
        <v>2297</v>
      </c>
    </row>
    <row r="230" spans="3:5" x14ac:dyDescent="0.3">
      <c r="C230" s="33">
        <v>45793</v>
      </c>
      <c r="D230" s="37">
        <v>12855.16</v>
      </c>
      <c r="E230" s="37">
        <v>5246</v>
      </c>
    </row>
    <row r="231" spans="3:5" x14ac:dyDescent="0.3">
      <c r="C231" s="33">
        <v>45792</v>
      </c>
      <c r="D231" s="37">
        <v>12808.96</v>
      </c>
      <c r="E231" s="37">
        <v>15151</v>
      </c>
    </row>
    <row r="232" spans="3:5" x14ac:dyDescent="0.3">
      <c r="C232" s="33">
        <v>45791</v>
      </c>
      <c r="D232" s="37">
        <v>12536.6</v>
      </c>
      <c r="E232" s="37">
        <v>5404</v>
      </c>
    </row>
    <row r="233" spans="3:5" x14ac:dyDescent="0.3">
      <c r="C233" s="33">
        <v>45790</v>
      </c>
      <c r="D233" s="37">
        <v>12350.76</v>
      </c>
      <c r="E233" s="37">
        <v>14259</v>
      </c>
    </row>
    <row r="234" spans="3:5" x14ac:dyDescent="0.3">
      <c r="C234" s="33">
        <v>45789</v>
      </c>
      <c r="D234" s="37">
        <v>12480.6</v>
      </c>
      <c r="E234" s="37">
        <v>5703</v>
      </c>
    </row>
    <row r="235" spans="3:5" x14ac:dyDescent="0.3">
      <c r="C235" s="33">
        <v>45786</v>
      </c>
      <c r="D235" s="37">
        <v>12121.43</v>
      </c>
      <c r="E235" s="37">
        <v>3495</v>
      </c>
    </row>
    <row r="236" spans="3:5" x14ac:dyDescent="0.3">
      <c r="C236" s="33">
        <v>45785</v>
      </c>
      <c r="D236" s="37">
        <v>12257.96</v>
      </c>
      <c r="E236" s="37">
        <v>6026</v>
      </c>
    </row>
    <row r="237" spans="3:5" x14ac:dyDescent="0.3">
      <c r="C237" s="33">
        <v>45784</v>
      </c>
      <c r="D237" s="37">
        <v>12494.21</v>
      </c>
      <c r="E237" s="37">
        <v>4311</v>
      </c>
    </row>
    <row r="238" spans="3:5" x14ac:dyDescent="0.3">
      <c r="C238" s="33">
        <v>45783</v>
      </c>
      <c r="D238" s="37">
        <v>12443.36</v>
      </c>
      <c r="E238" s="37">
        <v>18616</v>
      </c>
    </row>
    <row r="239" spans="3:5" x14ac:dyDescent="0.3">
      <c r="C239" s="33">
        <v>45782</v>
      </c>
      <c r="D239" s="37">
        <v>12330.87</v>
      </c>
      <c r="E239" s="37">
        <v>22916</v>
      </c>
    </row>
    <row r="240" spans="3:5" x14ac:dyDescent="0.3">
      <c r="C240" s="33">
        <v>45779</v>
      </c>
      <c r="D240" s="37">
        <v>12276.61</v>
      </c>
      <c r="E240" s="37">
        <v>34091</v>
      </c>
    </row>
    <row r="241" spans="3:5" x14ac:dyDescent="0.3">
      <c r="C241" s="33">
        <v>45777</v>
      </c>
      <c r="D241" s="37">
        <v>12129.54</v>
      </c>
      <c r="E241" s="37">
        <v>23059</v>
      </c>
    </row>
    <row r="242" spans="3:5" x14ac:dyDescent="0.3">
      <c r="C242" s="33">
        <v>45776</v>
      </c>
      <c r="D242" s="37">
        <v>11720.46</v>
      </c>
      <c r="E242" s="37">
        <v>9830</v>
      </c>
    </row>
    <row r="243" spans="3:5" x14ac:dyDescent="0.3">
      <c r="C243" s="33">
        <v>45775</v>
      </c>
      <c r="D243" s="37">
        <v>11724.12</v>
      </c>
      <c r="E243" s="37">
        <v>9361</v>
      </c>
    </row>
    <row r="244" spans="3:5" x14ac:dyDescent="0.3">
      <c r="C244" s="33">
        <v>45772</v>
      </c>
      <c r="D244" s="37">
        <v>11561.04</v>
      </c>
      <c r="E244" s="37">
        <v>20710</v>
      </c>
    </row>
    <row r="245" spans="3:5" x14ac:dyDescent="0.3">
      <c r="C245" s="33">
        <v>45771</v>
      </c>
      <c r="D245" s="37">
        <v>11773.64</v>
      </c>
      <c r="E245" s="37">
        <v>10076</v>
      </c>
    </row>
    <row r="246" spans="3:5" x14ac:dyDescent="0.3">
      <c r="C246" s="33">
        <v>45770</v>
      </c>
      <c r="D246" s="37">
        <v>11783.48</v>
      </c>
      <c r="E246" s="37">
        <v>3459</v>
      </c>
    </row>
    <row r="247" spans="3:5" x14ac:dyDescent="0.3">
      <c r="C247" s="33">
        <v>45769</v>
      </c>
      <c r="D247" s="37">
        <v>11608.18</v>
      </c>
      <c r="E247" s="37">
        <v>14502</v>
      </c>
    </row>
    <row r="248" spans="3:5" x14ac:dyDescent="0.3">
      <c r="C248" s="33">
        <v>45768</v>
      </c>
      <c r="D248" s="37">
        <v>11619.8</v>
      </c>
      <c r="E248" s="37">
        <v>18330</v>
      </c>
    </row>
    <row r="249" spans="3:5" x14ac:dyDescent="0.3">
      <c r="C249" s="33">
        <v>45764</v>
      </c>
      <c r="D249" s="37">
        <v>11566.38</v>
      </c>
      <c r="E249" s="37">
        <v>7187</v>
      </c>
    </row>
    <row r="250" spans="3:5" x14ac:dyDescent="0.3">
      <c r="C250" s="33">
        <v>45763</v>
      </c>
      <c r="D250" s="37">
        <v>11539.62</v>
      </c>
      <c r="E250" s="37">
        <v>11325</v>
      </c>
    </row>
    <row r="251" spans="3:5" x14ac:dyDescent="0.3">
      <c r="C251" s="33">
        <v>45762</v>
      </c>
      <c r="D251" s="37">
        <v>11725.51</v>
      </c>
      <c r="E251" s="37">
        <v>19463</v>
      </c>
    </row>
    <row r="252" spans="3:5" x14ac:dyDescent="0.3">
      <c r="C252" s="33">
        <v>45758</v>
      </c>
      <c r="D252" s="37">
        <v>11478.82</v>
      </c>
      <c r="E252" s="37">
        <v>6689</v>
      </c>
    </row>
    <row r="253" spans="3:5" x14ac:dyDescent="0.3">
      <c r="C253" s="33">
        <v>45756</v>
      </c>
      <c r="D253" s="37">
        <v>11339.48</v>
      </c>
      <c r="E253" s="37">
        <v>5250</v>
      </c>
    </row>
    <row r="254" spans="3:5" x14ac:dyDescent="0.3">
      <c r="C254" s="33">
        <v>45755</v>
      </c>
      <c r="D254" s="37">
        <v>11333.89</v>
      </c>
      <c r="E254" s="37">
        <v>18041</v>
      </c>
    </row>
    <row r="255" spans="3:5" x14ac:dyDescent="0.3">
      <c r="C255" s="33">
        <v>45754</v>
      </c>
      <c r="D255" s="37">
        <v>11206.22</v>
      </c>
      <c r="E255" s="37">
        <v>6931</v>
      </c>
    </row>
    <row r="256" spans="3:5" x14ac:dyDescent="0.3">
      <c r="C256" s="33">
        <v>45751</v>
      </c>
      <c r="D256" s="37">
        <v>11358.87</v>
      </c>
      <c r="E256" s="37">
        <v>3482</v>
      </c>
    </row>
    <row r="257" spans="3:5" x14ac:dyDescent="0.3">
      <c r="C257" s="33">
        <v>45750</v>
      </c>
      <c r="D257" s="37">
        <v>11557.97</v>
      </c>
      <c r="E257" s="37">
        <v>1377</v>
      </c>
    </row>
    <row r="258" spans="3:5" x14ac:dyDescent="0.3">
      <c r="C258" s="33">
        <v>45749</v>
      </c>
      <c r="D258" s="37">
        <v>11589.87</v>
      </c>
      <c r="E258" s="37">
        <v>4870</v>
      </c>
    </row>
    <row r="259" spans="3:5" x14ac:dyDescent="0.3">
      <c r="C259" s="33">
        <v>45748</v>
      </c>
      <c r="D259" s="37">
        <v>11352.93</v>
      </c>
      <c r="E259" s="37">
        <v>11962</v>
      </c>
    </row>
    <row r="260" spans="3:5" x14ac:dyDescent="0.3">
      <c r="C260" s="33">
        <v>45744</v>
      </c>
      <c r="D260" s="37">
        <v>11398.34</v>
      </c>
      <c r="E260" s="37">
        <v>7434</v>
      </c>
    </row>
    <row r="261" spans="3:5" x14ac:dyDescent="0.3">
      <c r="C261" s="33">
        <v>45743</v>
      </c>
      <c r="D261" s="37">
        <v>11596.4</v>
      </c>
      <c r="E261" s="37">
        <v>36575</v>
      </c>
    </row>
    <row r="262" spans="3:5" x14ac:dyDescent="0.3">
      <c r="C262" s="33">
        <v>45742</v>
      </c>
      <c r="D262" s="37">
        <v>11606.35</v>
      </c>
      <c r="E262" s="37">
        <v>16496</v>
      </c>
    </row>
    <row r="263" spans="3:5" x14ac:dyDescent="0.3">
      <c r="C263" s="33">
        <v>45741</v>
      </c>
      <c r="D263" s="37">
        <v>11770.18</v>
      </c>
      <c r="E263" s="37">
        <v>10955</v>
      </c>
    </row>
    <row r="264" spans="3:5" x14ac:dyDescent="0.3">
      <c r="C264" s="33">
        <v>45740</v>
      </c>
      <c r="D264" s="37">
        <v>11795.45</v>
      </c>
      <c r="E264" s="37">
        <v>24822</v>
      </c>
    </row>
    <row r="265" spans="3:5" x14ac:dyDescent="0.3">
      <c r="C265" s="33">
        <v>45737</v>
      </c>
      <c r="D265" s="37">
        <v>11614.11</v>
      </c>
      <c r="E265" s="37">
        <v>27402</v>
      </c>
    </row>
    <row r="266" spans="3:5" x14ac:dyDescent="0.3">
      <c r="C266" s="33">
        <v>45736</v>
      </c>
      <c r="D266" s="37">
        <v>11610.5</v>
      </c>
      <c r="E266" s="37">
        <v>11683</v>
      </c>
    </row>
    <row r="267" spans="3:5" x14ac:dyDescent="0.3">
      <c r="C267" s="33">
        <v>45735</v>
      </c>
      <c r="D267" s="37">
        <v>11496.88</v>
      </c>
      <c r="E267" s="37">
        <v>12478</v>
      </c>
    </row>
    <row r="268" spans="3:5" x14ac:dyDescent="0.3">
      <c r="C268" s="33">
        <v>45734</v>
      </c>
      <c r="D268" s="37">
        <v>11594.97</v>
      </c>
      <c r="E268" s="37">
        <v>10028</v>
      </c>
    </row>
    <row r="269" spans="3:5" x14ac:dyDescent="0.3">
      <c r="C269" s="33">
        <v>45733</v>
      </c>
      <c r="D269" s="37">
        <v>11434.01</v>
      </c>
      <c r="E269" s="37">
        <v>8181</v>
      </c>
    </row>
    <row r="270" spans="3:5" x14ac:dyDescent="0.3">
      <c r="C270" s="33">
        <v>45729</v>
      </c>
      <c r="D270" s="37">
        <v>11385.68</v>
      </c>
      <c r="E270" s="37">
        <v>7650</v>
      </c>
    </row>
    <row r="271" spans="3:5" x14ac:dyDescent="0.3">
      <c r="C271" s="33">
        <v>45728</v>
      </c>
      <c r="D271" s="37">
        <v>11514.59</v>
      </c>
      <c r="E271" s="37">
        <v>24135</v>
      </c>
    </row>
    <row r="272" spans="3:5" x14ac:dyDescent="0.3">
      <c r="C272" s="33">
        <v>45727</v>
      </c>
      <c r="D272" s="37">
        <v>11521.96</v>
      </c>
      <c r="E272" s="37">
        <v>6933</v>
      </c>
    </row>
    <row r="273" spans="3:5" x14ac:dyDescent="0.3">
      <c r="C273" s="33">
        <v>45726</v>
      </c>
      <c r="D273" s="37">
        <v>11443.8</v>
      </c>
      <c r="E273" s="37">
        <v>3485</v>
      </c>
    </row>
    <row r="274" spans="3:5" x14ac:dyDescent="0.3">
      <c r="C274" s="33">
        <v>45723</v>
      </c>
      <c r="D274" s="37">
        <v>11540.8</v>
      </c>
      <c r="E274" s="37">
        <v>3725</v>
      </c>
    </row>
    <row r="275" spans="3:5" x14ac:dyDescent="0.3">
      <c r="C275" s="33">
        <v>45722</v>
      </c>
      <c r="D275" s="37">
        <v>11545.06</v>
      </c>
      <c r="E275" s="37">
        <v>3841</v>
      </c>
    </row>
    <row r="276" spans="3:5" x14ac:dyDescent="0.3">
      <c r="C276" s="33">
        <v>45721</v>
      </c>
      <c r="D276" s="37">
        <v>11490.79</v>
      </c>
      <c r="E276" s="37">
        <v>4441</v>
      </c>
    </row>
    <row r="277" spans="3:5" x14ac:dyDescent="0.3">
      <c r="C277" s="33">
        <v>45720</v>
      </c>
      <c r="D277" s="37">
        <v>11492.77</v>
      </c>
      <c r="E277" s="37">
        <v>4475</v>
      </c>
    </row>
    <row r="278" spans="3:5" x14ac:dyDescent="0.3">
      <c r="C278" s="33">
        <v>45719</v>
      </c>
      <c r="D278" s="37">
        <v>11642.65</v>
      </c>
      <c r="E278" s="37">
        <v>6575</v>
      </c>
    </row>
    <row r="279" spans="3:5" x14ac:dyDescent="0.3">
      <c r="C279" s="33">
        <v>45716</v>
      </c>
      <c r="D279" s="37">
        <v>11817.37</v>
      </c>
      <c r="E279" s="37">
        <v>12480</v>
      </c>
    </row>
    <row r="280" spans="3:5" x14ac:dyDescent="0.3">
      <c r="C280" s="33">
        <v>45715</v>
      </c>
      <c r="D280" s="37">
        <v>12252.32</v>
      </c>
      <c r="E280" s="37">
        <v>3613</v>
      </c>
    </row>
    <row r="281" spans="3:5" x14ac:dyDescent="0.3">
      <c r="C281" s="33">
        <v>45713</v>
      </c>
      <c r="D281" s="37">
        <v>12345.36</v>
      </c>
      <c r="E281" s="37">
        <v>14222</v>
      </c>
    </row>
    <row r="282" spans="3:5" x14ac:dyDescent="0.3">
      <c r="C282" s="33">
        <v>45712</v>
      </c>
      <c r="D282" s="37">
        <v>12214.82</v>
      </c>
      <c r="E282" s="37">
        <v>4447</v>
      </c>
    </row>
    <row r="283" spans="3:5" x14ac:dyDescent="0.3">
      <c r="C283" s="33">
        <v>45709</v>
      </c>
      <c r="D283" s="37">
        <v>12188.51</v>
      </c>
      <c r="E283" s="37">
        <v>8370</v>
      </c>
    </row>
    <row r="284" spans="3:5" x14ac:dyDescent="0.3">
      <c r="C284" s="33">
        <v>45708</v>
      </c>
      <c r="D284" s="37">
        <v>12304.55</v>
      </c>
      <c r="E284" s="37">
        <v>6629</v>
      </c>
    </row>
    <row r="285" spans="3:5" x14ac:dyDescent="0.3">
      <c r="C285" s="33">
        <v>45707</v>
      </c>
      <c r="D285" s="37">
        <v>12543.77</v>
      </c>
      <c r="E285" s="37">
        <v>6406</v>
      </c>
    </row>
    <row r="286" spans="3:5" x14ac:dyDescent="0.3">
      <c r="C286" s="33">
        <v>45706</v>
      </c>
      <c r="D286" s="37">
        <v>12649.68</v>
      </c>
      <c r="E286" s="37">
        <v>3219</v>
      </c>
    </row>
    <row r="287" spans="3:5" x14ac:dyDescent="0.3">
      <c r="C287" s="33">
        <v>45705</v>
      </c>
      <c r="D287" s="37">
        <v>12622.27</v>
      </c>
      <c r="E287" s="37">
        <v>9224</v>
      </c>
    </row>
    <row r="288" spans="3:5" x14ac:dyDescent="0.3">
      <c r="C288" s="33">
        <v>45702</v>
      </c>
      <c r="D288" s="37">
        <v>12533.98</v>
      </c>
      <c r="E288" s="37">
        <v>7380</v>
      </c>
    </row>
    <row r="289" spans="3:5" x14ac:dyDescent="0.3">
      <c r="C289" s="33">
        <v>45701</v>
      </c>
      <c r="D289" s="37">
        <v>12532.89</v>
      </c>
      <c r="E289" s="37">
        <v>3897</v>
      </c>
    </row>
    <row r="290" spans="3:5" x14ac:dyDescent="0.3">
      <c r="C290" s="33">
        <v>45700</v>
      </c>
      <c r="D290" s="37">
        <v>12527.79</v>
      </c>
      <c r="E290" s="37">
        <v>129572</v>
      </c>
    </row>
    <row r="291" spans="3:5" x14ac:dyDescent="0.3">
      <c r="C291" s="33">
        <v>45699</v>
      </c>
      <c r="D291" s="37">
        <v>12581.91</v>
      </c>
      <c r="E291" s="37">
        <v>20258</v>
      </c>
    </row>
    <row r="292" spans="3:5" x14ac:dyDescent="0.3">
      <c r="C292" s="33">
        <v>45698</v>
      </c>
      <c r="D292" s="37">
        <v>12761.27</v>
      </c>
      <c r="E292" s="37">
        <v>8124</v>
      </c>
    </row>
    <row r="293" spans="3:5" x14ac:dyDescent="0.3">
      <c r="C293" s="33">
        <v>45695</v>
      </c>
      <c r="D293" s="37">
        <v>12907.2</v>
      </c>
      <c r="E293" s="37">
        <v>4277</v>
      </c>
    </row>
    <row r="294" spans="3:5" x14ac:dyDescent="0.3">
      <c r="C294" s="33">
        <v>45694</v>
      </c>
      <c r="D294" s="37">
        <v>12937.22</v>
      </c>
      <c r="E294" s="37">
        <v>5872</v>
      </c>
    </row>
    <row r="295" spans="3:5" x14ac:dyDescent="0.3">
      <c r="C295" s="33">
        <v>45693</v>
      </c>
      <c r="D295" s="37">
        <v>12954.29</v>
      </c>
      <c r="E295" s="37">
        <v>6862</v>
      </c>
    </row>
    <row r="296" spans="3:5" x14ac:dyDescent="0.3">
      <c r="C296" s="33">
        <v>45692</v>
      </c>
      <c r="D296" s="37">
        <v>12969.67</v>
      </c>
      <c r="E296" s="37">
        <v>23170</v>
      </c>
    </row>
    <row r="297" spans="3:5" x14ac:dyDescent="0.3">
      <c r="C297" s="33">
        <v>45691</v>
      </c>
      <c r="D297" s="37">
        <v>12995.05</v>
      </c>
      <c r="E297" s="37">
        <v>23150</v>
      </c>
    </row>
    <row r="298" spans="3:5" x14ac:dyDescent="0.3">
      <c r="C298" s="33">
        <v>45689</v>
      </c>
      <c r="D298" s="37">
        <v>12783.14</v>
      </c>
      <c r="E298" s="37">
        <v>25092</v>
      </c>
    </row>
    <row r="299" spans="3:5" x14ac:dyDescent="0.3">
      <c r="C299" s="33">
        <v>45688</v>
      </c>
      <c r="D299" s="37">
        <v>12176.88</v>
      </c>
      <c r="E299" s="37">
        <v>9941</v>
      </c>
    </row>
    <row r="300" spans="3:5" x14ac:dyDescent="0.3">
      <c r="C300" s="33">
        <v>45687</v>
      </c>
      <c r="D300" s="37">
        <v>11868.96</v>
      </c>
      <c r="E300" s="37">
        <v>10373</v>
      </c>
    </row>
    <row r="301" spans="3:5" x14ac:dyDescent="0.3">
      <c r="C301" s="33">
        <v>45686</v>
      </c>
      <c r="D301" s="37">
        <v>11845.22</v>
      </c>
      <c r="E301" s="37">
        <v>18936</v>
      </c>
    </row>
    <row r="302" spans="3:5" x14ac:dyDescent="0.3">
      <c r="C302" s="33">
        <v>45685</v>
      </c>
      <c r="D302" s="37">
        <v>11993.37</v>
      </c>
      <c r="E302" s="37">
        <v>19812</v>
      </c>
    </row>
    <row r="303" spans="3:5" x14ac:dyDescent="0.3">
      <c r="C303" s="33">
        <v>45684</v>
      </c>
      <c r="D303" s="37">
        <v>11862.33</v>
      </c>
      <c r="E303" s="37">
        <v>5921</v>
      </c>
    </row>
    <row r="304" spans="3:5" x14ac:dyDescent="0.3">
      <c r="C304" s="33">
        <v>45681</v>
      </c>
      <c r="D304" s="37">
        <v>11844.87</v>
      </c>
      <c r="E304" s="37">
        <v>10040</v>
      </c>
    </row>
    <row r="305" spans="3:5" x14ac:dyDescent="0.3">
      <c r="C305" s="33">
        <v>45680</v>
      </c>
      <c r="D305" s="37">
        <v>11917.58</v>
      </c>
      <c r="E305" s="37">
        <v>7078</v>
      </c>
    </row>
    <row r="306" spans="3:5" x14ac:dyDescent="0.3">
      <c r="C306" s="33">
        <v>45679</v>
      </c>
      <c r="D306" s="37">
        <v>11893.89</v>
      </c>
      <c r="E306" s="37">
        <v>2814</v>
      </c>
    </row>
    <row r="307" spans="3:5" x14ac:dyDescent="0.3">
      <c r="C307" s="33">
        <v>45678</v>
      </c>
      <c r="D307" s="37">
        <v>11755.34</v>
      </c>
      <c r="E307" s="37">
        <v>24696</v>
      </c>
    </row>
    <row r="308" spans="3:5" x14ac:dyDescent="0.3">
      <c r="C308" s="33">
        <v>45677</v>
      </c>
      <c r="D308" s="37">
        <v>11887.86</v>
      </c>
      <c r="E308" s="37">
        <v>12700</v>
      </c>
    </row>
    <row r="309" spans="3:5" x14ac:dyDescent="0.3">
      <c r="C309" s="33">
        <v>45674</v>
      </c>
      <c r="D309" s="37">
        <v>11983.87</v>
      </c>
      <c r="E309" s="37">
        <v>11272</v>
      </c>
    </row>
    <row r="310" spans="3:5" x14ac:dyDescent="0.3">
      <c r="C310" s="33">
        <v>45673</v>
      </c>
      <c r="D310" s="37">
        <v>11964.48</v>
      </c>
      <c r="E310" s="37">
        <v>4525</v>
      </c>
    </row>
    <row r="311" spans="3:5" x14ac:dyDescent="0.3">
      <c r="C311" s="33">
        <v>45672</v>
      </c>
      <c r="D311" s="37">
        <v>11813.01</v>
      </c>
      <c r="E311" s="37">
        <v>12481</v>
      </c>
    </row>
    <row r="312" spans="3:5" x14ac:dyDescent="0.3">
      <c r="C312" s="33">
        <v>45671</v>
      </c>
      <c r="D312" s="37">
        <v>11617.03</v>
      </c>
      <c r="E312" s="37">
        <v>21412</v>
      </c>
    </row>
    <row r="313" spans="3:5" x14ac:dyDescent="0.3">
      <c r="C313" s="33">
        <v>45670</v>
      </c>
      <c r="D313" s="37">
        <v>11367.67</v>
      </c>
      <c r="E313" s="37">
        <v>50193</v>
      </c>
    </row>
    <row r="314" spans="3:5" x14ac:dyDescent="0.3">
      <c r="C314" s="33">
        <v>45667</v>
      </c>
      <c r="D314" s="37">
        <v>11497.52</v>
      </c>
      <c r="E314" s="37">
        <v>10140</v>
      </c>
    </row>
    <row r="315" spans="3:5" x14ac:dyDescent="0.3">
      <c r="C315" s="33">
        <v>45666</v>
      </c>
      <c r="D315" s="37">
        <v>11618.17</v>
      </c>
      <c r="E315" s="37">
        <v>3639</v>
      </c>
    </row>
    <row r="316" spans="3:5" x14ac:dyDescent="0.3">
      <c r="C316" s="33">
        <v>45665</v>
      </c>
      <c r="D316" s="37">
        <v>11691.77</v>
      </c>
      <c r="E316" s="37">
        <v>6865</v>
      </c>
    </row>
    <row r="317" spans="3:5" x14ac:dyDescent="0.3">
      <c r="C317" s="33">
        <v>45664</v>
      </c>
      <c r="D317" s="37">
        <v>11602.98</v>
      </c>
      <c r="E317" s="37">
        <v>7267</v>
      </c>
    </row>
    <row r="318" spans="3:5" x14ac:dyDescent="0.3">
      <c r="C318" s="33">
        <v>45663</v>
      </c>
      <c r="D318" s="37">
        <v>11623.66</v>
      </c>
      <c r="E318" s="37">
        <v>23876</v>
      </c>
    </row>
    <row r="319" spans="3:5" x14ac:dyDescent="0.3">
      <c r="C319" s="33">
        <v>45660</v>
      </c>
      <c r="D319" s="37">
        <v>11815.83</v>
      </c>
      <c r="E319" s="37">
        <v>15842</v>
      </c>
    </row>
    <row r="320" spans="3:5" x14ac:dyDescent="0.3">
      <c r="C320" s="33">
        <v>45659</v>
      </c>
      <c r="D320" s="37">
        <v>11711.06</v>
      </c>
      <c r="E320" s="37">
        <v>36140</v>
      </c>
    </row>
    <row r="321" spans="3:5" x14ac:dyDescent="0.3">
      <c r="C321" s="33">
        <v>45658</v>
      </c>
      <c r="D321" s="37">
        <v>11101.3</v>
      </c>
      <c r="E321" s="37">
        <v>13844</v>
      </c>
    </row>
    <row r="322" spans="3:5" x14ac:dyDescent="0.3">
      <c r="C322" s="33">
        <v>45657</v>
      </c>
      <c r="D322" s="37">
        <v>10750.79</v>
      </c>
      <c r="E322" s="37">
        <v>5935</v>
      </c>
    </row>
    <row r="323" spans="3:5" x14ac:dyDescent="0.3">
      <c r="C323" s="33">
        <v>45656</v>
      </c>
      <c r="D323" s="37">
        <v>10686.48</v>
      </c>
      <c r="E323" s="37">
        <v>5297</v>
      </c>
    </row>
    <row r="324" spans="3:5" x14ac:dyDescent="0.3">
      <c r="C324" s="33">
        <v>45653</v>
      </c>
      <c r="D324" s="37">
        <v>10821.32</v>
      </c>
      <c r="E324" s="37">
        <v>6695</v>
      </c>
    </row>
    <row r="325" spans="3:5" x14ac:dyDescent="0.3">
      <c r="C325" s="33">
        <v>45652</v>
      </c>
      <c r="D325" s="37">
        <v>10778.88</v>
      </c>
      <c r="E325" s="37">
        <v>5402</v>
      </c>
    </row>
    <row r="326" spans="3:5" x14ac:dyDescent="0.3">
      <c r="C326" s="33">
        <v>45650</v>
      </c>
      <c r="D326" s="37">
        <v>10620.84</v>
      </c>
      <c r="E326" s="37">
        <v>8041</v>
      </c>
    </row>
    <row r="327" spans="3:5" x14ac:dyDescent="0.3">
      <c r="C327" s="33">
        <v>45649</v>
      </c>
      <c r="D327" s="37">
        <v>10706.42</v>
      </c>
      <c r="E327" s="37">
        <v>26391</v>
      </c>
    </row>
    <row r="328" spans="3:5" x14ac:dyDescent="0.3">
      <c r="C328" s="33">
        <v>45646</v>
      </c>
      <c r="D328" s="37">
        <v>10788.23</v>
      </c>
      <c r="E328" s="37">
        <v>7032</v>
      </c>
    </row>
    <row r="329" spans="3:5" x14ac:dyDescent="0.3">
      <c r="C329" s="33">
        <v>45645</v>
      </c>
      <c r="D329" s="37">
        <v>10837.9</v>
      </c>
      <c r="E329" s="37">
        <v>13158</v>
      </c>
    </row>
    <row r="330" spans="3:5" x14ac:dyDescent="0.3">
      <c r="C330" s="33">
        <v>45644</v>
      </c>
      <c r="D330" s="37">
        <v>10888.3</v>
      </c>
      <c r="E330" s="37">
        <v>7527</v>
      </c>
    </row>
    <row r="331" spans="3:5" x14ac:dyDescent="0.3">
      <c r="C331" s="33">
        <v>45643</v>
      </c>
      <c r="D331" s="37">
        <v>10971.85</v>
      </c>
      <c r="E331" s="37">
        <v>12851</v>
      </c>
    </row>
    <row r="332" spans="3:5" x14ac:dyDescent="0.3">
      <c r="C332" s="33">
        <v>45642</v>
      </c>
      <c r="D332" s="37">
        <v>11146.81</v>
      </c>
      <c r="E332" s="37">
        <v>18049</v>
      </c>
    </row>
    <row r="333" spans="3:5" x14ac:dyDescent="0.3">
      <c r="C333" s="33">
        <v>45639</v>
      </c>
      <c r="D333" s="37">
        <v>11156.55</v>
      </c>
      <c r="E333" s="37">
        <v>8025</v>
      </c>
    </row>
    <row r="334" spans="3:5" x14ac:dyDescent="0.3">
      <c r="C334" s="33">
        <v>45638</v>
      </c>
      <c r="D334" s="37">
        <v>11046.44</v>
      </c>
      <c r="E334" s="37">
        <v>26159</v>
      </c>
    </row>
    <row r="335" spans="3:5" x14ac:dyDescent="0.3">
      <c r="C335" s="33">
        <v>45637</v>
      </c>
      <c r="D335" s="37">
        <v>11162.24</v>
      </c>
      <c r="E335" s="37">
        <v>6547</v>
      </c>
    </row>
    <row r="336" spans="3:5" x14ac:dyDescent="0.3">
      <c r="C336" s="33">
        <v>45636</v>
      </c>
      <c r="D336" s="37">
        <v>11083.89</v>
      </c>
      <c r="E336" s="37">
        <v>4828</v>
      </c>
    </row>
    <row r="337" spans="3:5" x14ac:dyDescent="0.3">
      <c r="C337" s="33">
        <v>45635</v>
      </c>
      <c r="D337" s="37">
        <v>11156.75</v>
      </c>
      <c r="E337" s="37">
        <v>9743</v>
      </c>
    </row>
    <row r="338" spans="3:5" x14ac:dyDescent="0.3">
      <c r="C338" s="33">
        <v>45632</v>
      </c>
      <c r="D338" s="37">
        <v>11197.26</v>
      </c>
      <c r="E338" s="37">
        <v>19427</v>
      </c>
    </row>
    <row r="339" spans="3:5" x14ac:dyDescent="0.3">
      <c r="C339" s="33">
        <v>45631</v>
      </c>
      <c r="D339" s="37">
        <v>11061.28</v>
      </c>
      <c r="E339" s="37">
        <v>16643</v>
      </c>
    </row>
    <row r="340" spans="3:5" x14ac:dyDescent="0.3">
      <c r="C340" s="33">
        <v>45630</v>
      </c>
      <c r="D340" s="37">
        <v>11012.41</v>
      </c>
      <c r="E340" s="37">
        <v>9041</v>
      </c>
    </row>
    <row r="341" spans="3:5" x14ac:dyDescent="0.3">
      <c r="C341" s="33">
        <v>45629</v>
      </c>
      <c r="D341" s="37">
        <v>11157.94</v>
      </c>
      <c r="E341" s="37">
        <v>7074</v>
      </c>
    </row>
    <row r="342" spans="3:5" x14ac:dyDescent="0.3">
      <c r="C342" s="33">
        <v>45628</v>
      </c>
      <c r="D342" s="37">
        <v>11121.88</v>
      </c>
      <c r="E342" s="37">
        <v>16609</v>
      </c>
    </row>
    <row r="343" spans="3:5" x14ac:dyDescent="0.3">
      <c r="C343" s="33">
        <v>45625</v>
      </c>
      <c r="D343" s="37">
        <v>10954.19</v>
      </c>
      <c r="E343" s="37">
        <v>14999</v>
      </c>
    </row>
    <row r="344" spans="3:5" x14ac:dyDescent="0.3">
      <c r="C344" s="33">
        <v>45624</v>
      </c>
      <c r="D344" s="37">
        <v>10848.48</v>
      </c>
      <c r="E344" s="37">
        <v>25058</v>
      </c>
    </row>
    <row r="345" spans="3:5" x14ac:dyDescent="0.3">
      <c r="C345" s="33">
        <v>45623</v>
      </c>
      <c r="D345" s="37">
        <v>10939.84</v>
      </c>
      <c r="E345" s="37">
        <v>13562</v>
      </c>
    </row>
    <row r="346" spans="3:5" x14ac:dyDescent="0.3">
      <c r="C346" s="33">
        <v>45622</v>
      </c>
      <c r="D346" s="37">
        <v>10827.36</v>
      </c>
      <c r="E346" s="37">
        <v>6479</v>
      </c>
    </row>
    <row r="347" spans="3:5" x14ac:dyDescent="0.3">
      <c r="C347" s="33">
        <v>45621</v>
      </c>
      <c r="D347" s="37">
        <v>10908.88</v>
      </c>
      <c r="E347" s="37">
        <v>12946</v>
      </c>
    </row>
    <row r="348" spans="3:5" x14ac:dyDescent="0.3">
      <c r="C348" s="33">
        <v>45618</v>
      </c>
      <c r="D348" s="37">
        <v>10963.04</v>
      </c>
      <c r="E348" s="37">
        <v>11123</v>
      </c>
    </row>
    <row r="349" spans="3:5" x14ac:dyDescent="0.3">
      <c r="C349" s="33">
        <v>45617</v>
      </c>
      <c r="D349" s="37">
        <v>10745.74</v>
      </c>
      <c r="E349" s="37">
        <v>34535</v>
      </c>
    </row>
    <row r="350" spans="3:5" x14ac:dyDescent="0.3">
      <c r="C350" s="33">
        <v>45615</v>
      </c>
      <c r="D350" s="37">
        <v>10851.25</v>
      </c>
      <c r="E350" s="37">
        <v>31518</v>
      </c>
    </row>
    <row r="351" spans="3:5" x14ac:dyDescent="0.3">
      <c r="C351" s="33">
        <v>45614</v>
      </c>
      <c r="D351" s="37">
        <v>10975.06</v>
      </c>
      <c r="E351" s="37">
        <v>5568</v>
      </c>
    </row>
    <row r="352" spans="3:5" x14ac:dyDescent="0.3">
      <c r="C352" s="33">
        <v>45610</v>
      </c>
      <c r="D352" s="37">
        <v>10889.93</v>
      </c>
      <c r="E352" s="37">
        <v>13590</v>
      </c>
    </row>
    <row r="353" spans="3:5" x14ac:dyDescent="0.3">
      <c r="C353" s="33">
        <v>45609</v>
      </c>
      <c r="D353" s="37">
        <v>10930.59</v>
      </c>
      <c r="E353" s="37">
        <v>25539</v>
      </c>
    </row>
    <row r="354" spans="3:5" x14ac:dyDescent="0.3">
      <c r="C354" s="33">
        <v>45608</v>
      </c>
      <c r="D354" s="37">
        <v>11026.75</v>
      </c>
      <c r="E354" s="37">
        <v>16454</v>
      </c>
    </row>
    <row r="355" spans="3:5" x14ac:dyDescent="0.3">
      <c r="C355" s="33">
        <v>45607</v>
      </c>
      <c r="D355" s="37">
        <v>11283.09</v>
      </c>
      <c r="E355" s="37">
        <v>36837</v>
      </c>
    </row>
    <row r="356" spans="3:5" x14ac:dyDescent="0.3">
      <c r="C356" s="33">
        <v>45604</v>
      </c>
      <c r="D356" s="37">
        <v>11186.43</v>
      </c>
      <c r="E356" s="37">
        <v>9354</v>
      </c>
    </row>
    <row r="357" spans="3:5" x14ac:dyDescent="0.3">
      <c r="C357" s="33">
        <v>45603</v>
      </c>
      <c r="D357" s="37">
        <v>11180.4</v>
      </c>
      <c r="E357" s="37">
        <v>8680</v>
      </c>
    </row>
    <row r="358" spans="3:5" x14ac:dyDescent="0.3">
      <c r="C358" s="33">
        <v>45602</v>
      </c>
      <c r="D358" s="37">
        <v>11230.95</v>
      </c>
      <c r="E358" s="37">
        <v>11232</v>
      </c>
    </row>
    <row r="359" spans="3:5" x14ac:dyDescent="0.3">
      <c r="C359" s="33">
        <v>45600</v>
      </c>
      <c r="D359" s="37">
        <v>10935.89</v>
      </c>
      <c r="E359" s="37">
        <v>19865</v>
      </c>
    </row>
    <row r="360" spans="3:5" x14ac:dyDescent="0.3">
      <c r="C360" s="33">
        <v>45597</v>
      </c>
      <c r="D360" s="37">
        <v>10994.01</v>
      </c>
      <c r="E360" s="37">
        <v>3255</v>
      </c>
    </row>
    <row r="361" spans="3:5" x14ac:dyDescent="0.3">
      <c r="C361" s="33">
        <v>45596</v>
      </c>
      <c r="D361" s="37">
        <v>10962.2</v>
      </c>
      <c r="E361" s="37">
        <v>27523</v>
      </c>
    </row>
    <row r="362" spans="3:5" x14ac:dyDescent="0.3">
      <c r="C362" s="33">
        <v>45594</v>
      </c>
      <c r="D362" s="37">
        <v>10929.51</v>
      </c>
      <c r="E362" s="37">
        <v>55744</v>
      </c>
    </row>
    <row r="363" spans="3:5" x14ac:dyDescent="0.3">
      <c r="C363" s="33">
        <v>45593</v>
      </c>
      <c r="D363" s="37">
        <v>11359.51</v>
      </c>
      <c r="E363" s="37">
        <v>8347</v>
      </c>
    </row>
    <row r="364" spans="3:5" x14ac:dyDescent="0.3">
      <c r="C364" s="33">
        <v>45590</v>
      </c>
      <c r="D364" s="37">
        <v>11373.16</v>
      </c>
      <c r="E364" s="37">
        <v>30142</v>
      </c>
    </row>
    <row r="365" spans="3:5" x14ac:dyDescent="0.3">
      <c r="C365" s="33">
        <v>45589</v>
      </c>
      <c r="D365" s="37">
        <v>11636.32</v>
      </c>
      <c r="E365" s="37">
        <v>30640</v>
      </c>
    </row>
    <row r="366" spans="3:5" x14ac:dyDescent="0.3">
      <c r="C366" s="33">
        <v>45588</v>
      </c>
      <c r="D366" s="37">
        <v>11835.32</v>
      </c>
      <c r="E366" s="37">
        <v>20388</v>
      </c>
    </row>
    <row r="367" spans="3:5" x14ac:dyDescent="0.3">
      <c r="C367" s="33">
        <v>45587</v>
      </c>
      <c r="D367" s="37">
        <v>11793.52</v>
      </c>
      <c r="E367" s="37">
        <v>28567</v>
      </c>
    </row>
    <row r="368" spans="3:5" x14ac:dyDescent="0.3">
      <c r="C368" s="33">
        <v>45586</v>
      </c>
      <c r="D368" s="37">
        <v>12051.44</v>
      </c>
      <c r="E368" s="37">
        <v>13011</v>
      </c>
    </row>
    <row r="369" spans="3:5" x14ac:dyDescent="0.3">
      <c r="C369" s="33">
        <v>45583</v>
      </c>
      <c r="D369" s="37">
        <v>11973.33</v>
      </c>
      <c r="E369" s="37">
        <v>41492</v>
      </c>
    </row>
    <row r="370" spans="3:5" x14ac:dyDescent="0.3">
      <c r="C370" s="33">
        <v>45582</v>
      </c>
      <c r="D370" s="37">
        <v>12013.99</v>
      </c>
      <c r="E370" s="37">
        <v>35170</v>
      </c>
    </row>
    <row r="371" spans="3:5" x14ac:dyDescent="0.3">
      <c r="C371" s="33">
        <v>45581</v>
      </c>
      <c r="D371" s="37">
        <v>12241.29</v>
      </c>
      <c r="E371" s="37">
        <v>24650</v>
      </c>
    </row>
    <row r="372" spans="3:5" x14ac:dyDescent="0.3">
      <c r="C372" s="33">
        <v>45580</v>
      </c>
      <c r="D372" s="37">
        <v>12313.9</v>
      </c>
      <c r="E372" s="37">
        <v>23245</v>
      </c>
    </row>
    <row r="373" spans="3:5" x14ac:dyDescent="0.3">
      <c r="C373" s="33">
        <v>45579</v>
      </c>
      <c r="D373" s="37">
        <v>12404.48</v>
      </c>
      <c r="E373" s="37">
        <v>41565</v>
      </c>
    </row>
    <row r="374" spans="3:5" x14ac:dyDescent="0.3">
      <c r="C374" s="33">
        <v>45576</v>
      </c>
      <c r="D374" s="37">
        <v>12637.91</v>
      </c>
      <c r="E374" s="37">
        <v>15846</v>
      </c>
    </row>
    <row r="375" spans="3:5" x14ac:dyDescent="0.3">
      <c r="C375" s="33">
        <v>45575</v>
      </c>
      <c r="D375" s="37">
        <v>12805</v>
      </c>
      <c r="E375" s="37">
        <v>5254</v>
      </c>
    </row>
    <row r="376" spans="3:5" x14ac:dyDescent="0.3">
      <c r="C376" s="33">
        <v>45574</v>
      </c>
      <c r="D376" s="37">
        <v>12620.84</v>
      </c>
      <c r="E376" s="37">
        <v>18431</v>
      </c>
    </row>
    <row r="377" spans="3:5" x14ac:dyDescent="0.3">
      <c r="C377" s="33">
        <v>45573</v>
      </c>
      <c r="D377" s="37">
        <v>12401.9</v>
      </c>
      <c r="E377" s="37">
        <v>7208</v>
      </c>
    </row>
    <row r="378" spans="3:5" x14ac:dyDescent="0.3">
      <c r="C378" s="33">
        <v>45572</v>
      </c>
      <c r="D378" s="37">
        <v>12403.63</v>
      </c>
      <c r="E378" s="37">
        <v>9485</v>
      </c>
    </row>
    <row r="379" spans="3:5" x14ac:dyDescent="0.3">
      <c r="C379" s="33">
        <v>45569</v>
      </c>
      <c r="D379" s="37">
        <v>12468.24</v>
      </c>
      <c r="E379" s="37">
        <v>30317</v>
      </c>
    </row>
    <row r="380" spans="3:5" x14ac:dyDescent="0.3">
      <c r="C380" s="33">
        <v>45568</v>
      </c>
      <c r="D380" s="37">
        <v>12518.25</v>
      </c>
      <c r="E380" s="37">
        <v>20574</v>
      </c>
    </row>
    <row r="381" spans="3:5" x14ac:dyDescent="0.3">
      <c r="C381" s="33">
        <v>45566</v>
      </c>
      <c r="D381" s="37">
        <v>13026.31</v>
      </c>
      <c r="E381" s="37">
        <v>7606</v>
      </c>
    </row>
    <row r="382" spans="3:5" x14ac:dyDescent="0.3">
      <c r="C382" s="33">
        <v>45565</v>
      </c>
      <c r="D382" s="37">
        <v>13086.86</v>
      </c>
      <c r="E382" s="37">
        <v>13610</v>
      </c>
    </row>
    <row r="383" spans="3:5" x14ac:dyDescent="0.3">
      <c r="C383" s="33">
        <v>45562</v>
      </c>
      <c r="D383" s="37">
        <v>13353.13</v>
      </c>
      <c r="E383" s="37">
        <v>25239</v>
      </c>
    </row>
    <row r="384" spans="3:5" x14ac:dyDescent="0.3">
      <c r="C384" s="33">
        <v>45561</v>
      </c>
      <c r="D384" s="37">
        <v>13241.29</v>
      </c>
      <c r="E384" s="37">
        <v>32282</v>
      </c>
    </row>
    <row r="385" spans="3:5" x14ac:dyDescent="0.3">
      <c r="C385" s="33">
        <v>45560</v>
      </c>
      <c r="D385" s="37">
        <v>12639.49</v>
      </c>
      <c r="E385" s="37">
        <v>6942</v>
      </c>
    </row>
    <row r="386" spans="3:5" x14ac:dyDescent="0.3">
      <c r="C386" s="33">
        <v>45559</v>
      </c>
      <c r="D386" s="37">
        <v>12602.29</v>
      </c>
      <c r="E386" s="37">
        <v>20668</v>
      </c>
    </row>
    <row r="387" spans="3:5" x14ac:dyDescent="0.3">
      <c r="C387" s="33">
        <v>45558</v>
      </c>
      <c r="D387" s="37">
        <v>12546.69</v>
      </c>
      <c r="E387" s="37">
        <v>8018</v>
      </c>
    </row>
    <row r="388" spans="3:5" x14ac:dyDescent="0.3">
      <c r="C388" s="33">
        <v>45555</v>
      </c>
      <c r="D388" s="37">
        <v>12481.89</v>
      </c>
      <c r="E388" s="37">
        <v>53188</v>
      </c>
    </row>
    <row r="389" spans="3:5" x14ac:dyDescent="0.3">
      <c r="C389" s="33">
        <v>45554</v>
      </c>
      <c r="D389" s="37">
        <v>12224.87</v>
      </c>
      <c r="E389" s="37">
        <v>13074</v>
      </c>
    </row>
    <row r="390" spans="3:5" x14ac:dyDescent="0.3">
      <c r="C390" s="33">
        <v>45553</v>
      </c>
      <c r="D390" s="37">
        <v>12069.84</v>
      </c>
      <c r="E390" s="37">
        <v>5026</v>
      </c>
    </row>
    <row r="391" spans="3:5" x14ac:dyDescent="0.3">
      <c r="C391" s="33">
        <v>45552</v>
      </c>
      <c r="D391" s="37">
        <v>12116.73</v>
      </c>
      <c r="E391" s="37">
        <v>32844</v>
      </c>
    </row>
    <row r="392" spans="3:5" x14ac:dyDescent="0.3">
      <c r="C392" s="33">
        <v>45551</v>
      </c>
      <c r="D392" s="37">
        <v>12158.24</v>
      </c>
      <c r="E392" s="37">
        <v>18075</v>
      </c>
    </row>
    <row r="393" spans="3:5" x14ac:dyDescent="0.3">
      <c r="C393" s="33">
        <v>45548</v>
      </c>
      <c r="D393" s="37">
        <v>12185.54</v>
      </c>
      <c r="E393" s="37">
        <v>8483</v>
      </c>
    </row>
    <row r="394" spans="3:5" x14ac:dyDescent="0.3">
      <c r="C394" s="33">
        <v>45547</v>
      </c>
      <c r="D394" s="37">
        <v>12260.43</v>
      </c>
      <c r="E394" s="37">
        <v>10041</v>
      </c>
    </row>
    <row r="395" spans="3:5" x14ac:dyDescent="0.3">
      <c r="C395" s="33">
        <v>45546</v>
      </c>
      <c r="D395" s="37">
        <v>12117.62</v>
      </c>
      <c r="E395" s="37">
        <v>8735</v>
      </c>
    </row>
    <row r="396" spans="3:5" x14ac:dyDescent="0.3">
      <c r="C396" s="33">
        <v>45545</v>
      </c>
      <c r="D396" s="37">
        <v>12134.24</v>
      </c>
      <c r="E396" s="37">
        <v>16472</v>
      </c>
    </row>
    <row r="397" spans="3:5" x14ac:dyDescent="0.3">
      <c r="C397" s="33">
        <v>45544</v>
      </c>
      <c r="D397" s="37">
        <v>12019.93</v>
      </c>
      <c r="E397" s="37">
        <v>10467</v>
      </c>
    </row>
    <row r="398" spans="3:5" x14ac:dyDescent="0.3">
      <c r="C398" s="33">
        <v>45541</v>
      </c>
      <c r="D398" s="37">
        <v>12053.91</v>
      </c>
      <c r="E398" s="37">
        <v>35374</v>
      </c>
    </row>
    <row r="399" spans="3:5" x14ac:dyDescent="0.3">
      <c r="C399" s="33">
        <v>45540</v>
      </c>
      <c r="D399" s="37">
        <v>12166.74</v>
      </c>
      <c r="E399" s="37">
        <v>3295</v>
      </c>
    </row>
    <row r="400" spans="3:5" x14ac:dyDescent="0.3">
      <c r="C400" s="33">
        <v>45539</v>
      </c>
      <c r="D400" s="37">
        <v>12203.94</v>
      </c>
      <c r="E400" s="37">
        <v>22537</v>
      </c>
    </row>
    <row r="401" spans="3:5" x14ac:dyDescent="0.3">
      <c r="C401" s="33">
        <v>45538</v>
      </c>
      <c r="D401" s="37">
        <v>12275.02</v>
      </c>
      <c r="E401" s="37">
        <v>30934</v>
      </c>
    </row>
    <row r="402" spans="3:5" x14ac:dyDescent="0.3">
      <c r="C402" s="33">
        <v>45537</v>
      </c>
      <c r="D402" s="37">
        <v>12298.32</v>
      </c>
      <c r="E402" s="37">
        <v>16719</v>
      </c>
    </row>
    <row r="403" spans="3:5" x14ac:dyDescent="0.3">
      <c r="C403" s="33">
        <v>45534</v>
      </c>
      <c r="D403" s="37">
        <v>12288.53</v>
      </c>
      <c r="E403" s="37">
        <v>66159</v>
      </c>
    </row>
    <row r="404" spans="3:5" x14ac:dyDescent="0.3">
      <c r="C404" s="33">
        <v>45533</v>
      </c>
      <c r="D404" s="37">
        <v>12318.65</v>
      </c>
      <c r="E404" s="37">
        <v>23564</v>
      </c>
    </row>
    <row r="405" spans="3:5" x14ac:dyDescent="0.3">
      <c r="C405" s="33">
        <v>45532</v>
      </c>
      <c r="D405" s="37">
        <v>12225.41</v>
      </c>
      <c r="E405" s="37">
        <v>20473</v>
      </c>
    </row>
    <row r="406" spans="3:5" x14ac:dyDescent="0.3">
      <c r="C406" s="33">
        <v>45530</v>
      </c>
      <c r="D406" s="37">
        <v>12115.69</v>
      </c>
      <c r="E406" s="37">
        <v>5345</v>
      </c>
    </row>
    <row r="407" spans="3:5" x14ac:dyDescent="0.3">
      <c r="C407" s="33">
        <v>45527</v>
      </c>
      <c r="D407" s="37">
        <v>12170.85</v>
      </c>
      <c r="E407" s="37">
        <v>39083</v>
      </c>
    </row>
    <row r="408" spans="3:5" x14ac:dyDescent="0.3">
      <c r="C408" s="33">
        <v>45526</v>
      </c>
      <c r="D408" s="37">
        <v>12166.25</v>
      </c>
      <c r="E408" s="37">
        <v>14344</v>
      </c>
    </row>
    <row r="409" spans="3:5" x14ac:dyDescent="0.3">
      <c r="C409" s="33">
        <v>45525</v>
      </c>
      <c r="D409" s="37">
        <v>12085.87</v>
      </c>
      <c r="E409" s="37">
        <v>8917</v>
      </c>
    </row>
    <row r="410" spans="3:5" x14ac:dyDescent="0.3">
      <c r="C410" s="33">
        <v>45524</v>
      </c>
      <c r="D410" s="37">
        <v>12095.46</v>
      </c>
      <c r="E410" s="37">
        <v>5511</v>
      </c>
    </row>
    <row r="411" spans="3:5" x14ac:dyDescent="0.3">
      <c r="C411" s="33">
        <v>45523</v>
      </c>
      <c r="D411" s="37">
        <v>12014.54</v>
      </c>
      <c r="E411" s="37">
        <v>8055</v>
      </c>
    </row>
    <row r="412" spans="3:5" x14ac:dyDescent="0.3">
      <c r="C412" s="33">
        <v>45520</v>
      </c>
      <c r="D412" s="37">
        <v>12084.19</v>
      </c>
      <c r="E412" s="37">
        <v>34503</v>
      </c>
    </row>
    <row r="413" spans="3:5" x14ac:dyDescent="0.3">
      <c r="C413" s="33">
        <v>45518</v>
      </c>
      <c r="D413" s="37">
        <v>12069.69</v>
      </c>
      <c r="E413" s="37">
        <v>4192</v>
      </c>
    </row>
    <row r="414" spans="3:5" x14ac:dyDescent="0.3">
      <c r="C414" s="33">
        <v>45517</v>
      </c>
      <c r="D414" s="37">
        <v>12035.66</v>
      </c>
      <c r="E414" s="37">
        <v>19551</v>
      </c>
    </row>
    <row r="415" spans="3:5" x14ac:dyDescent="0.3">
      <c r="C415" s="33">
        <v>45516</v>
      </c>
      <c r="D415" s="37">
        <v>12143.5</v>
      </c>
      <c r="E415" s="37">
        <v>10103</v>
      </c>
    </row>
    <row r="416" spans="3:5" x14ac:dyDescent="0.3">
      <c r="C416" s="33">
        <v>45513</v>
      </c>
      <c r="D416" s="37">
        <v>12095.81</v>
      </c>
      <c r="E416" s="37">
        <v>23074</v>
      </c>
    </row>
    <row r="417" spans="3:5" x14ac:dyDescent="0.3">
      <c r="C417" s="33">
        <v>45512</v>
      </c>
      <c r="D417" s="37">
        <v>12083.05</v>
      </c>
      <c r="E417" s="37">
        <v>10592</v>
      </c>
    </row>
    <row r="418" spans="3:5" x14ac:dyDescent="0.3">
      <c r="C418" s="33">
        <v>45511</v>
      </c>
      <c r="D418" s="37">
        <v>12243.86</v>
      </c>
      <c r="E418" s="37">
        <v>8146</v>
      </c>
    </row>
    <row r="419" spans="3:5" x14ac:dyDescent="0.3">
      <c r="C419" s="33">
        <v>45510</v>
      </c>
      <c r="D419" s="37">
        <v>11996.68</v>
      </c>
      <c r="E419" s="37">
        <v>14713</v>
      </c>
    </row>
    <row r="420" spans="3:5" x14ac:dyDescent="0.3">
      <c r="C420" s="33">
        <v>45509</v>
      </c>
      <c r="D420" s="37">
        <v>12069.89</v>
      </c>
      <c r="E420" s="37">
        <v>45762</v>
      </c>
    </row>
    <row r="421" spans="3:5" x14ac:dyDescent="0.3">
      <c r="C421" s="33">
        <v>45506</v>
      </c>
      <c r="D421" s="37">
        <v>12594.92</v>
      </c>
      <c r="E421" s="37">
        <v>73308</v>
      </c>
    </row>
    <row r="422" spans="3:5" x14ac:dyDescent="0.3">
      <c r="C422" s="33">
        <v>45505</v>
      </c>
      <c r="D422" s="37">
        <v>13082.7</v>
      </c>
      <c r="E422" s="37">
        <v>69032</v>
      </c>
    </row>
    <row r="423" spans="3:5" x14ac:dyDescent="0.3">
      <c r="C423" s="33">
        <v>45504</v>
      </c>
      <c r="D423" s="37">
        <v>12905.26</v>
      </c>
      <c r="E423" s="37">
        <v>50343</v>
      </c>
    </row>
    <row r="424" spans="3:5" x14ac:dyDescent="0.3">
      <c r="C424" s="33">
        <v>45503</v>
      </c>
      <c r="D424" s="37">
        <v>12617.67</v>
      </c>
      <c r="E424" s="37">
        <v>11609</v>
      </c>
    </row>
    <row r="425" spans="3:5" x14ac:dyDescent="0.3">
      <c r="C425" s="33">
        <v>45502</v>
      </c>
      <c r="D425" s="37">
        <v>12509.17</v>
      </c>
      <c r="E425" s="37">
        <v>14871</v>
      </c>
    </row>
    <row r="426" spans="3:5" x14ac:dyDescent="0.3">
      <c r="C426" s="33">
        <v>45499</v>
      </c>
      <c r="D426" s="37">
        <v>12424.99</v>
      </c>
      <c r="E426" s="37">
        <v>20744</v>
      </c>
    </row>
    <row r="427" spans="3:5" x14ac:dyDescent="0.3">
      <c r="C427" s="33">
        <v>45498</v>
      </c>
      <c r="D427" s="37">
        <v>12251.76</v>
      </c>
      <c r="E427" s="37">
        <v>17204</v>
      </c>
    </row>
    <row r="428" spans="3:5" x14ac:dyDescent="0.3">
      <c r="C428" s="33">
        <v>45497</v>
      </c>
      <c r="D428" s="37">
        <v>12244.22</v>
      </c>
      <c r="E428" s="37">
        <v>4751</v>
      </c>
    </row>
    <row r="429" spans="3:5" x14ac:dyDescent="0.3">
      <c r="C429" s="33">
        <v>45496</v>
      </c>
      <c r="D429" s="37">
        <v>12374.76</v>
      </c>
      <c r="E429" s="37">
        <v>12022</v>
      </c>
    </row>
    <row r="430" spans="3:5" x14ac:dyDescent="0.3">
      <c r="C430" s="33">
        <v>45495</v>
      </c>
      <c r="D430" s="37">
        <v>12389.46</v>
      </c>
      <c r="E430" s="37">
        <v>4665</v>
      </c>
    </row>
    <row r="431" spans="3:5" x14ac:dyDescent="0.3">
      <c r="C431" s="33">
        <v>45492</v>
      </c>
      <c r="D431" s="37">
        <v>12271.71</v>
      </c>
      <c r="E431" s="37">
        <v>36579</v>
      </c>
    </row>
    <row r="432" spans="3:5" x14ac:dyDescent="0.3">
      <c r="C432" s="33">
        <v>45491</v>
      </c>
      <c r="D432" s="37">
        <v>12399.26</v>
      </c>
      <c r="E432" s="37">
        <v>14769</v>
      </c>
    </row>
    <row r="433" spans="3:5" x14ac:dyDescent="0.3">
      <c r="C433" s="33">
        <v>45489</v>
      </c>
      <c r="D433" s="37">
        <v>12376.87</v>
      </c>
      <c r="E433" s="37">
        <v>5365</v>
      </c>
    </row>
    <row r="434" spans="3:5" x14ac:dyDescent="0.3">
      <c r="C434" s="33">
        <v>45488</v>
      </c>
      <c r="D434" s="37">
        <v>12389.36</v>
      </c>
      <c r="E434" s="37">
        <v>7802</v>
      </c>
    </row>
    <row r="435" spans="3:5" x14ac:dyDescent="0.3">
      <c r="C435" s="33">
        <v>45485</v>
      </c>
      <c r="D435" s="37">
        <v>12306.89</v>
      </c>
      <c r="E435" s="37">
        <v>48531</v>
      </c>
    </row>
    <row r="436" spans="3:5" x14ac:dyDescent="0.3">
      <c r="C436" s="33">
        <v>45484</v>
      </c>
      <c r="D436" s="37">
        <v>12459.63</v>
      </c>
      <c r="E436" s="37">
        <v>17754</v>
      </c>
    </row>
    <row r="437" spans="3:5" x14ac:dyDescent="0.3">
      <c r="C437" s="33">
        <v>45483</v>
      </c>
      <c r="D437" s="37">
        <v>12519.32</v>
      </c>
      <c r="E437" s="37">
        <v>60150</v>
      </c>
    </row>
    <row r="438" spans="3:5" x14ac:dyDescent="0.3">
      <c r="C438" s="33">
        <v>45482</v>
      </c>
      <c r="D438" s="37">
        <v>12564.45</v>
      </c>
      <c r="E438" s="37">
        <v>115604</v>
      </c>
    </row>
    <row r="439" spans="3:5" x14ac:dyDescent="0.3">
      <c r="C439" s="33">
        <v>45481</v>
      </c>
      <c r="D439" s="37">
        <v>11786.09</v>
      </c>
      <c r="E439" s="37">
        <v>16789</v>
      </c>
    </row>
    <row r="440" spans="3:5" x14ac:dyDescent="0.3">
      <c r="C440" s="33">
        <v>45478</v>
      </c>
      <c r="D440" s="37">
        <v>11864.99</v>
      </c>
      <c r="E440" s="37">
        <v>19704</v>
      </c>
    </row>
    <row r="441" spans="3:5" x14ac:dyDescent="0.3">
      <c r="C441" s="33">
        <v>45477</v>
      </c>
      <c r="D441" s="37">
        <v>11844.31</v>
      </c>
      <c r="E441" s="37">
        <v>6328</v>
      </c>
    </row>
    <row r="442" spans="3:5" x14ac:dyDescent="0.3">
      <c r="C442" s="33">
        <v>45476</v>
      </c>
      <c r="D442" s="37">
        <v>11879.54</v>
      </c>
      <c r="E442" s="37">
        <v>18721</v>
      </c>
    </row>
    <row r="443" spans="3:5" x14ac:dyDescent="0.3">
      <c r="C443" s="33">
        <v>45475</v>
      </c>
      <c r="D443" s="37">
        <v>11799.13</v>
      </c>
      <c r="E443" s="37">
        <v>12001</v>
      </c>
    </row>
    <row r="444" spans="3:5" x14ac:dyDescent="0.3">
      <c r="C444" s="33">
        <v>45474</v>
      </c>
      <c r="D444" s="37">
        <v>11865.04</v>
      </c>
      <c r="E444" s="37">
        <v>29082</v>
      </c>
    </row>
    <row r="445" spans="3:5" x14ac:dyDescent="0.3">
      <c r="C445" s="33">
        <v>45471</v>
      </c>
      <c r="D445" s="37">
        <v>11796.78</v>
      </c>
      <c r="E445" s="37">
        <v>58822</v>
      </c>
    </row>
    <row r="446" spans="3:5" x14ac:dyDescent="0.3">
      <c r="C446" s="33">
        <v>45470</v>
      </c>
      <c r="D446" s="37">
        <v>11936.92</v>
      </c>
      <c r="E446" s="37">
        <v>35606</v>
      </c>
    </row>
    <row r="447" spans="3:5" x14ac:dyDescent="0.3">
      <c r="C447" s="33">
        <v>45469</v>
      </c>
      <c r="D447" s="37">
        <v>11953.34</v>
      </c>
      <c r="E447" s="37">
        <v>6333</v>
      </c>
    </row>
    <row r="448" spans="3:5" x14ac:dyDescent="0.3">
      <c r="C448" s="33">
        <v>45468</v>
      </c>
      <c r="D448" s="37">
        <v>11872.24</v>
      </c>
      <c r="E448" s="37">
        <v>16421</v>
      </c>
    </row>
    <row r="449" spans="3:5" x14ac:dyDescent="0.3">
      <c r="C449" s="33">
        <v>45467</v>
      </c>
      <c r="D449" s="37">
        <v>11934.03</v>
      </c>
      <c r="E449" s="37">
        <v>7317</v>
      </c>
    </row>
    <row r="450" spans="3:5" x14ac:dyDescent="0.3">
      <c r="C450" s="33">
        <v>45464</v>
      </c>
      <c r="D450" s="37">
        <v>11955.2</v>
      </c>
      <c r="E450" s="37">
        <v>39087</v>
      </c>
    </row>
    <row r="451" spans="3:5" x14ac:dyDescent="0.3">
      <c r="C451" s="33">
        <v>45463</v>
      </c>
      <c r="D451" s="37">
        <v>11901.64</v>
      </c>
      <c r="E451" s="37">
        <v>13390</v>
      </c>
    </row>
    <row r="452" spans="3:5" x14ac:dyDescent="0.3">
      <c r="C452" s="33">
        <v>45462</v>
      </c>
      <c r="D452" s="37">
        <v>11991.76</v>
      </c>
      <c r="E452" s="37">
        <v>22005</v>
      </c>
    </row>
    <row r="453" spans="3:5" x14ac:dyDescent="0.3">
      <c r="C453" s="33">
        <v>45461</v>
      </c>
      <c r="D453" s="37">
        <v>12309.39</v>
      </c>
      <c r="E453" s="37">
        <v>16731</v>
      </c>
    </row>
    <row r="454" spans="3:5" x14ac:dyDescent="0.3">
      <c r="C454" s="33">
        <v>45457</v>
      </c>
      <c r="D454" s="37">
        <v>12594.83</v>
      </c>
      <c r="E454" s="37">
        <v>9126</v>
      </c>
    </row>
    <row r="455" spans="3:5" x14ac:dyDescent="0.3">
      <c r="C455" s="33">
        <v>45456</v>
      </c>
      <c r="D455" s="37">
        <v>12585.13</v>
      </c>
      <c r="E455" s="37">
        <v>4944</v>
      </c>
    </row>
    <row r="456" spans="3:5" x14ac:dyDescent="0.3">
      <c r="C456" s="33">
        <v>45455</v>
      </c>
      <c r="D456" s="37">
        <v>12593.95</v>
      </c>
      <c r="E456" s="37">
        <v>4060</v>
      </c>
    </row>
    <row r="457" spans="3:5" x14ac:dyDescent="0.3">
      <c r="C457" s="33">
        <v>45454</v>
      </c>
      <c r="D457" s="37">
        <v>12603.7</v>
      </c>
      <c r="E457" s="37">
        <v>6670</v>
      </c>
    </row>
    <row r="458" spans="3:5" x14ac:dyDescent="0.3">
      <c r="C458" s="33">
        <v>45453</v>
      </c>
      <c r="D458" s="37">
        <v>12449.78</v>
      </c>
      <c r="E458" s="37">
        <v>9418</v>
      </c>
    </row>
    <row r="459" spans="3:5" x14ac:dyDescent="0.3">
      <c r="C459" s="33">
        <v>45450</v>
      </c>
      <c r="D459" s="37">
        <v>12558.18</v>
      </c>
      <c r="E459" s="37">
        <v>34274</v>
      </c>
    </row>
    <row r="460" spans="3:5" x14ac:dyDescent="0.3">
      <c r="C460" s="33">
        <v>45449</v>
      </c>
      <c r="D460" s="37">
        <v>12422.49</v>
      </c>
      <c r="E460" s="37">
        <v>9534</v>
      </c>
    </row>
    <row r="461" spans="3:5" x14ac:dyDescent="0.3">
      <c r="C461" s="33">
        <v>45448</v>
      </c>
      <c r="D461" s="37">
        <v>12256.86</v>
      </c>
      <c r="E461" s="37">
        <v>7189</v>
      </c>
    </row>
    <row r="462" spans="3:5" x14ac:dyDescent="0.3">
      <c r="C462" s="33">
        <v>45447</v>
      </c>
      <c r="D462" s="37">
        <v>11878.81</v>
      </c>
      <c r="E462" s="37">
        <v>24609</v>
      </c>
    </row>
    <row r="463" spans="3:5" x14ac:dyDescent="0.3">
      <c r="C463" s="33">
        <v>45446</v>
      </c>
      <c r="D463" s="37">
        <v>12223.93</v>
      </c>
      <c r="E463" s="37">
        <v>5571</v>
      </c>
    </row>
    <row r="464" spans="3:5" x14ac:dyDescent="0.3">
      <c r="C464" s="33">
        <v>45443</v>
      </c>
      <c r="D464" s="37">
        <v>12150.13</v>
      </c>
      <c r="E464" s="37">
        <v>26716</v>
      </c>
    </row>
    <row r="465" spans="3:5" x14ac:dyDescent="0.3">
      <c r="C465" s="33">
        <v>45442</v>
      </c>
      <c r="D465" s="37">
        <v>12340.46</v>
      </c>
      <c r="E465" s="37">
        <v>4068</v>
      </c>
    </row>
    <row r="466" spans="3:5" x14ac:dyDescent="0.3">
      <c r="C466" s="33">
        <v>45441</v>
      </c>
      <c r="D466" s="37">
        <v>12531.62</v>
      </c>
      <c r="E466" s="37">
        <v>10885</v>
      </c>
    </row>
    <row r="467" spans="3:5" x14ac:dyDescent="0.3">
      <c r="C467" s="33">
        <v>45440</v>
      </c>
      <c r="D467" s="37">
        <v>12565.92</v>
      </c>
      <c r="E467" s="37">
        <v>2907</v>
      </c>
    </row>
    <row r="468" spans="3:5" x14ac:dyDescent="0.3">
      <c r="C468" s="33">
        <v>45439</v>
      </c>
      <c r="D468" s="37">
        <v>12645.01</v>
      </c>
      <c r="E468" s="37">
        <v>3622</v>
      </c>
    </row>
    <row r="469" spans="3:5" x14ac:dyDescent="0.3">
      <c r="C469" s="33">
        <v>45436</v>
      </c>
      <c r="D469" s="37">
        <v>12740.27</v>
      </c>
      <c r="E469" s="37">
        <v>13914</v>
      </c>
    </row>
    <row r="470" spans="3:5" x14ac:dyDescent="0.3">
      <c r="C470" s="33">
        <v>45435</v>
      </c>
      <c r="D470" s="37">
        <v>12671.96</v>
      </c>
      <c r="E470" s="37">
        <v>22031</v>
      </c>
    </row>
    <row r="471" spans="3:5" x14ac:dyDescent="0.3">
      <c r="C471" s="33">
        <v>45434</v>
      </c>
      <c r="D471" s="37">
        <v>12284.06</v>
      </c>
      <c r="E471" s="37">
        <v>6043</v>
      </c>
    </row>
    <row r="472" spans="3:5" x14ac:dyDescent="0.3">
      <c r="C472" s="33">
        <v>45433</v>
      </c>
      <c r="D472" s="37">
        <v>12220.94</v>
      </c>
      <c r="E472" s="37">
        <v>27197</v>
      </c>
    </row>
    <row r="473" spans="3:5" x14ac:dyDescent="0.3">
      <c r="C473" s="33">
        <v>45429</v>
      </c>
      <c r="D473" s="37">
        <v>12391.62</v>
      </c>
      <c r="E473" s="37">
        <v>15564</v>
      </c>
    </row>
    <row r="474" spans="3:5" x14ac:dyDescent="0.3">
      <c r="C474" s="33">
        <v>45428</v>
      </c>
      <c r="D474" s="37">
        <v>12245.44</v>
      </c>
      <c r="E474" s="37">
        <v>15271</v>
      </c>
    </row>
    <row r="475" spans="3:5" x14ac:dyDescent="0.3">
      <c r="C475" s="33">
        <v>45427</v>
      </c>
      <c r="D475" s="37">
        <v>12520.64</v>
      </c>
      <c r="E475" s="37">
        <v>6460</v>
      </c>
    </row>
    <row r="476" spans="3:5" x14ac:dyDescent="0.3">
      <c r="C476" s="33">
        <v>45426</v>
      </c>
      <c r="D476" s="37">
        <v>12558.86</v>
      </c>
      <c r="E476" s="37">
        <v>4801</v>
      </c>
    </row>
    <row r="477" spans="3:5" x14ac:dyDescent="0.3">
      <c r="C477" s="33">
        <v>45425</v>
      </c>
      <c r="D477" s="37">
        <v>12416.36</v>
      </c>
      <c r="E477" s="37">
        <v>6965</v>
      </c>
    </row>
    <row r="478" spans="3:5" x14ac:dyDescent="0.3">
      <c r="C478" s="33">
        <v>45422</v>
      </c>
      <c r="D478" s="37">
        <v>12423.42</v>
      </c>
      <c r="E478" s="37">
        <v>14602</v>
      </c>
    </row>
    <row r="479" spans="3:5" x14ac:dyDescent="0.3">
      <c r="C479" s="33">
        <v>45421</v>
      </c>
      <c r="D479" s="37">
        <v>12266.66</v>
      </c>
      <c r="E479" s="37">
        <v>7083</v>
      </c>
    </row>
    <row r="480" spans="3:5" x14ac:dyDescent="0.3">
      <c r="C480" s="33">
        <v>45420</v>
      </c>
      <c r="D480" s="37">
        <v>12291.16</v>
      </c>
      <c r="E480" s="37">
        <v>12111</v>
      </c>
    </row>
    <row r="481" spans="3:5" x14ac:dyDescent="0.3">
      <c r="C481" s="33">
        <v>45419</v>
      </c>
      <c r="D481" s="37">
        <v>12120.39</v>
      </c>
      <c r="E481" s="37">
        <v>4456</v>
      </c>
    </row>
    <row r="482" spans="3:5" x14ac:dyDescent="0.3">
      <c r="C482" s="33">
        <v>45418</v>
      </c>
      <c r="D482" s="37">
        <v>12185.12</v>
      </c>
      <c r="E482" s="37">
        <v>8735</v>
      </c>
    </row>
    <row r="483" spans="3:5" x14ac:dyDescent="0.3">
      <c r="C483" s="33">
        <v>45415</v>
      </c>
      <c r="D483" s="37">
        <v>12241.96</v>
      </c>
      <c r="E483" s="37">
        <v>12675</v>
      </c>
    </row>
    <row r="484" spans="3:5" x14ac:dyDescent="0.3">
      <c r="C484" s="33">
        <v>45414</v>
      </c>
      <c r="D484" s="37">
        <v>12538.53</v>
      </c>
      <c r="E484" s="37">
        <v>13127</v>
      </c>
    </row>
    <row r="485" spans="3:5" x14ac:dyDescent="0.3">
      <c r="C485" s="33">
        <v>45412</v>
      </c>
      <c r="D485" s="37">
        <v>12550.97</v>
      </c>
      <c r="E485" s="37">
        <v>16916</v>
      </c>
    </row>
    <row r="486" spans="3:5" x14ac:dyDescent="0.3">
      <c r="C486" s="33">
        <v>45411</v>
      </c>
      <c r="D486" s="37">
        <v>12442.48</v>
      </c>
      <c r="E486" s="37">
        <v>11065</v>
      </c>
    </row>
    <row r="487" spans="3:5" x14ac:dyDescent="0.3">
      <c r="C487" s="33">
        <v>45408</v>
      </c>
      <c r="D487" s="37">
        <v>12433.96</v>
      </c>
      <c r="E487" s="37">
        <v>23900</v>
      </c>
    </row>
    <row r="488" spans="3:5" x14ac:dyDescent="0.3">
      <c r="C488" s="33">
        <v>45407</v>
      </c>
      <c r="D488" s="37">
        <v>12648.64</v>
      </c>
      <c r="E488" s="37">
        <v>8391</v>
      </c>
    </row>
    <row r="489" spans="3:5" x14ac:dyDescent="0.3">
      <c r="C489" s="33">
        <v>45406</v>
      </c>
      <c r="D489" s="37">
        <v>12681.81</v>
      </c>
      <c r="E489" s="37">
        <v>4298</v>
      </c>
    </row>
    <row r="490" spans="3:5" x14ac:dyDescent="0.3">
      <c r="C490" s="33">
        <v>45405</v>
      </c>
      <c r="D490" s="37">
        <v>12734.49</v>
      </c>
      <c r="E490" s="37">
        <v>7898</v>
      </c>
    </row>
    <row r="491" spans="3:5" x14ac:dyDescent="0.3">
      <c r="C491" s="33">
        <v>45404</v>
      </c>
      <c r="D491" s="37">
        <v>12523.78</v>
      </c>
      <c r="E491" s="37">
        <v>8568</v>
      </c>
    </row>
    <row r="492" spans="3:5" x14ac:dyDescent="0.3">
      <c r="C492" s="33">
        <v>45401</v>
      </c>
      <c r="D492" s="37">
        <v>12457.08</v>
      </c>
      <c r="E492" s="37">
        <v>23210</v>
      </c>
    </row>
    <row r="493" spans="3:5" x14ac:dyDescent="0.3">
      <c r="C493" s="33">
        <v>45400</v>
      </c>
      <c r="D493" s="37">
        <v>12149.01</v>
      </c>
      <c r="E493" s="37">
        <v>15915</v>
      </c>
    </row>
    <row r="494" spans="3:5" x14ac:dyDescent="0.3">
      <c r="C494" s="33">
        <v>45398</v>
      </c>
      <c r="D494" s="37">
        <v>12254.02</v>
      </c>
      <c r="E494" s="37">
        <v>12940</v>
      </c>
    </row>
    <row r="495" spans="3:5" x14ac:dyDescent="0.3">
      <c r="C495" s="33">
        <v>45397</v>
      </c>
      <c r="D495" s="37">
        <v>12178.65</v>
      </c>
      <c r="E495" s="37">
        <v>16247</v>
      </c>
    </row>
    <row r="496" spans="3:5" x14ac:dyDescent="0.3">
      <c r="C496" s="33">
        <v>45394</v>
      </c>
      <c r="D496" s="37">
        <v>12029.73</v>
      </c>
      <c r="E496" s="37">
        <v>32580</v>
      </c>
    </row>
    <row r="497" spans="3:5" x14ac:dyDescent="0.3">
      <c r="C497" s="33">
        <v>45392</v>
      </c>
      <c r="D497" s="37">
        <v>12424.06</v>
      </c>
      <c r="E497" s="37">
        <v>14496</v>
      </c>
    </row>
    <row r="498" spans="3:5" x14ac:dyDescent="0.3">
      <c r="C498" s="33">
        <v>45391</v>
      </c>
      <c r="D498" s="37">
        <v>12633.98</v>
      </c>
      <c r="E498" s="37">
        <v>5796</v>
      </c>
    </row>
    <row r="499" spans="3:5" x14ac:dyDescent="0.3">
      <c r="C499" s="33">
        <v>45390</v>
      </c>
      <c r="D499" s="37">
        <v>12592.82</v>
      </c>
      <c r="E499" s="37">
        <v>19521</v>
      </c>
    </row>
    <row r="500" spans="3:5" x14ac:dyDescent="0.3">
      <c r="C500" s="33">
        <v>45387</v>
      </c>
      <c r="D500" s="37">
        <v>12176.79</v>
      </c>
      <c r="E500" s="37">
        <v>20255</v>
      </c>
    </row>
    <row r="501" spans="3:5" x14ac:dyDescent="0.3">
      <c r="C501" s="33">
        <v>45386</v>
      </c>
      <c r="D501" s="37">
        <v>12325.9</v>
      </c>
      <c r="E501" s="37">
        <v>9713</v>
      </c>
    </row>
    <row r="502" spans="3:5" x14ac:dyDescent="0.3">
      <c r="C502" s="33">
        <v>45385</v>
      </c>
      <c r="D502" s="37">
        <v>12180.86</v>
      </c>
      <c r="E502" s="37">
        <v>5378</v>
      </c>
    </row>
    <row r="503" spans="3:5" x14ac:dyDescent="0.3">
      <c r="C503" s="33">
        <v>45384</v>
      </c>
      <c r="D503" s="37">
        <v>12300.96</v>
      </c>
      <c r="E503" s="37">
        <v>9677</v>
      </c>
    </row>
    <row r="504" spans="3:5" x14ac:dyDescent="0.3">
      <c r="C504" s="33">
        <v>45383</v>
      </c>
      <c r="D504" s="37">
        <v>12319.54</v>
      </c>
      <c r="E504" s="37">
        <v>8687</v>
      </c>
    </row>
    <row r="505" spans="3:5" x14ac:dyDescent="0.3">
      <c r="C505" s="33">
        <v>45379</v>
      </c>
      <c r="D505" s="37">
        <v>12361.48</v>
      </c>
      <c r="E505" s="37">
        <v>16926</v>
      </c>
    </row>
    <row r="506" spans="3:5" x14ac:dyDescent="0.3">
      <c r="C506" s="33">
        <v>45378</v>
      </c>
      <c r="D506" s="37">
        <v>12270.53</v>
      </c>
      <c r="E506" s="37">
        <v>16695</v>
      </c>
    </row>
    <row r="507" spans="3:5" x14ac:dyDescent="0.3">
      <c r="C507" s="33">
        <v>45377</v>
      </c>
      <c r="D507" s="37">
        <v>12011.46</v>
      </c>
      <c r="E507" s="37">
        <v>40760</v>
      </c>
    </row>
    <row r="508" spans="3:5" x14ac:dyDescent="0.3">
      <c r="C508" s="33">
        <v>45373</v>
      </c>
      <c r="D508" s="37">
        <v>12090.1</v>
      </c>
      <c r="E508" s="37">
        <v>26854</v>
      </c>
    </row>
    <row r="509" spans="3:5" x14ac:dyDescent="0.3">
      <c r="C509" s="33">
        <v>45372</v>
      </c>
      <c r="D509" s="37">
        <v>11676.13</v>
      </c>
      <c r="E509" s="37">
        <v>12121</v>
      </c>
    </row>
    <row r="510" spans="3:5" x14ac:dyDescent="0.3">
      <c r="C510" s="33">
        <v>45371</v>
      </c>
      <c r="D510" s="37">
        <v>11703.57</v>
      </c>
      <c r="E510" s="37">
        <v>25643</v>
      </c>
    </row>
    <row r="511" spans="3:5" x14ac:dyDescent="0.3">
      <c r="C511" s="33">
        <v>45370</v>
      </c>
      <c r="D511" s="37">
        <v>11365.9</v>
      </c>
      <c r="E511" s="37">
        <v>12661</v>
      </c>
    </row>
    <row r="512" spans="3:5" x14ac:dyDescent="0.3">
      <c r="C512" s="33">
        <v>45369</v>
      </c>
      <c r="D512" s="37">
        <v>11403.43</v>
      </c>
      <c r="E512" s="37">
        <v>13351</v>
      </c>
    </row>
    <row r="513" spans="3:5" x14ac:dyDescent="0.3">
      <c r="C513" s="33">
        <v>45366</v>
      </c>
      <c r="D513" s="37">
        <v>11248.83</v>
      </c>
      <c r="E513" s="37">
        <v>15118</v>
      </c>
    </row>
    <row r="514" spans="3:5" x14ac:dyDescent="0.3">
      <c r="C514" s="33">
        <v>45365</v>
      </c>
      <c r="D514" s="37">
        <v>11169.69</v>
      </c>
      <c r="E514" s="37">
        <v>29491</v>
      </c>
    </row>
    <row r="515" spans="3:5" x14ac:dyDescent="0.3">
      <c r="C515" s="33">
        <v>45364</v>
      </c>
      <c r="D515" s="37">
        <v>11163.56</v>
      </c>
      <c r="E515" s="37">
        <v>19370</v>
      </c>
    </row>
    <row r="516" spans="3:5" x14ac:dyDescent="0.3">
      <c r="C516" s="33">
        <v>45363</v>
      </c>
      <c r="D516" s="37">
        <v>11277.2</v>
      </c>
      <c r="E516" s="37">
        <v>5029</v>
      </c>
    </row>
    <row r="517" spans="3:5" x14ac:dyDescent="0.3">
      <c r="C517" s="33">
        <v>45362</v>
      </c>
      <c r="D517" s="37">
        <v>11165.82</v>
      </c>
      <c r="E517" s="37">
        <v>3466</v>
      </c>
    </row>
    <row r="518" spans="3:5" x14ac:dyDescent="0.3">
      <c r="C518" s="33">
        <v>45358</v>
      </c>
      <c r="D518" s="37">
        <v>11273.43</v>
      </c>
      <c r="E518" s="37">
        <v>15465</v>
      </c>
    </row>
    <row r="519" spans="3:5" x14ac:dyDescent="0.3">
      <c r="C519" s="33">
        <v>45357</v>
      </c>
      <c r="D519" s="37">
        <v>11345.95</v>
      </c>
      <c r="E519" s="37">
        <v>12333</v>
      </c>
    </row>
    <row r="520" spans="3:5" x14ac:dyDescent="0.3">
      <c r="C520" s="33">
        <v>45356</v>
      </c>
      <c r="D520" s="37">
        <v>11436.36</v>
      </c>
      <c r="E520" s="37">
        <v>12631</v>
      </c>
    </row>
    <row r="521" spans="3:5" x14ac:dyDescent="0.3">
      <c r="C521" s="33">
        <v>45355</v>
      </c>
      <c r="D521" s="37">
        <v>11363.99</v>
      </c>
      <c r="E521" s="37">
        <v>4611</v>
      </c>
    </row>
    <row r="522" spans="3:5" x14ac:dyDescent="0.3">
      <c r="C522" s="33">
        <v>45352</v>
      </c>
      <c r="D522" s="37">
        <v>11376.48</v>
      </c>
      <c r="E522" s="37">
        <v>17496</v>
      </c>
    </row>
    <row r="523" spans="3:5" x14ac:dyDescent="0.3">
      <c r="C523" s="33">
        <v>45351</v>
      </c>
      <c r="D523" s="37">
        <v>11044.54</v>
      </c>
      <c r="E523" s="37">
        <v>16749</v>
      </c>
    </row>
    <row r="524" spans="3:5" x14ac:dyDescent="0.3">
      <c r="C524" s="33">
        <v>45350</v>
      </c>
      <c r="D524" s="37">
        <v>10928.16</v>
      </c>
      <c r="E524" s="37">
        <v>10630</v>
      </c>
    </row>
    <row r="525" spans="3:5" x14ac:dyDescent="0.3">
      <c r="C525" s="33">
        <v>45349</v>
      </c>
      <c r="D525" s="37">
        <v>11273.38</v>
      </c>
      <c r="E525" s="37">
        <v>2658</v>
      </c>
    </row>
    <row r="526" spans="3:5" x14ac:dyDescent="0.3">
      <c r="C526" s="33">
        <v>45348</v>
      </c>
      <c r="D526" s="37">
        <v>11230.84</v>
      </c>
      <c r="E526" s="37">
        <v>3944</v>
      </c>
    </row>
    <row r="527" spans="3:5" x14ac:dyDescent="0.3">
      <c r="C527" s="33">
        <v>45345</v>
      </c>
      <c r="D527" s="37">
        <v>11308.96</v>
      </c>
      <c r="E527" s="37">
        <v>20610</v>
      </c>
    </row>
    <row r="528" spans="3:5" x14ac:dyDescent="0.3">
      <c r="C528" s="33">
        <v>45344</v>
      </c>
      <c r="D528" s="37">
        <v>11442.58</v>
      </c>
      <c r="E528" s="37">
        <v>12499</v>
      </c>
    </row>
    <row r="529" spans="3:5" x14ac:dyDescent="0.3">
      <c r="C529" s="33">
        <v>45343</v>
      </c>
      <c r="D529" s="37">
        <v>11240.89</v>
      </c>
      <c r="E529" s="37">
        <v>3268</v>
      </c>
    </row>
    <row r="530" spans="3:5" x14ac:dyDescent="0.3">
      <c r="C530" s="33">
        <v>45342</v>
      </c>
      <c r="D530" s="37">
        <v>11217.71</v>
      </c>
      <c r="E530" s="37">
        <v>7665</v>
      </c>
    </row>
    <row r="531" spans="3:5" x14ac:dyDescent="0.3">
      <c r="C531" s="33">
        <v>45341</v>
      </c>
      <c r="D531" s="37">
        <v>11254.66</v>
      </c>
      <c r="E531" s="37">
        <v>7601</v>
      </c>
    </row>
    <row r="532" spans="3:5" x14ac:dyDescent="0.3">
      <c r="C532" s="33">
        <v>45338</v>
      </c>
      <c r="D532" s="37">
        <v>11140.88</v>
      </c>
      <c r="E532" s="37">
        <v>25455</v>
      </c>
    </row>
    <row r="533" spans="3:5" x14ac:dyDescent="0.3">
      <c r="C533" s="33">
        <v>45337</v>
      </c>
      <c r="D533" s="37">
        <v>10866.61</v>
      </c>
      <c r="E533" s="37">
        <v>5592</v>
      </c>
    </row>
    <row r="534" spans="3:5" x14ac:dyDescent="0.3">
      <c r="C534" s="33">
        <v>45336</v>
      </c>
      <c r="D534" s="37">
        <v>10806.87</v>
      </c>
      <c r="E534" s="37">
        <v>10936</v>
      </c>
    </row>
    <row r="535" spans="3:5" x14ac:dyDescent="0.3">
      <c r="C535" s="33">
        <v>45335</v>
      </c>
      <c r="D535" s="37">
        <v>10576.46</v>
      </c>
      <c r="E535" s="37">
        <v>3664</v>
      </c>
    </row>
    <row r="536" spans="3:5" x14ac:dyDescent="0.3">
      <c r="C536" s="33">
        <v>45334</v>
      </c>
      <c r="D536" s="37">
        <v>10495.76</v>
      </c>
      <c r="E536" s="37">
        <v>3035</v>
      </c>
    </row>
    <row r="537" spans="3:5" x14ac:dyDescent="0.3">
      <c r="C537" s="33">
        <v>45331</v>
      </c>
      <c r="D537" s="37">
        <v>10516.29</v>
      </c>
      <c r="E537" s="37">
        <v>22592</v>
      </c>
    </row>
    <row r="538" spans="3:5" x14ac:dyDescent="0.3">
      <c r="C538" s="33">
        <v>45330</v>
      </c>
      <c r="D538" s="37">
        <v>10535.16</v>
      </c>
      <c r="E538" s="37">
        <v>6446</v>
      </c>
    </row>
    <row r="539" spans="3:5" x14ac:dyDescent="0.3">
      <c r="C539" s="33">
        <v>45329</v>
      </c>
      <c r="D539" s="37">
        <v>10713.48</v>
      </c>
      <c r="E539" s="37">
        <v>19263</v>
      </c>
    </row>
    <row r="540" spans="3:5" x14ac:dyDescent="0.3">
      <c r="C540" s="33">
        <v>45328</v>
      </c>
      <c r="D540" s="37">
        <v>10632.13</v>
      </c>
      <c r="E540" s="37">
        <v>18016</v>
      </c>
    </row>
    <row r="541" spans="3:5" x14ac:dyDescent="0.3">
      <c r="C541" s="33">
        <v>45327</v>
      </c>
      <c r="D541" s="37">
        <v>10217.370000000001</v>
      </c>
      <c r="E541" s="37">
        <v>6529</v>
      </c>
    </row>
    <row r="542" spans="3:5" x14ac:dyDescent="0.3">
      <c r="C542" s="33">
        <v>45324</v>
      </c>
      <c r="D542" s="37">
        <v>10439.549999999999</v>
      </c>
      <c r="E542" s="37">
        <v>20835</v>
      </c>
    </row>
    <row r="543" spans="3:5" x14ac:dyDescent="0.3">
      <c r="C543" s="33">
        <v>45323</v>
      </c>
      <c r="D543" s="37">
        <v>10419.36</v>
      </c>
      <c r="E543" s="37">
        <v>38076</v>
      </c>
    </row>
    <row r="544" spans="3:5" x14ac:dyDescent="0.3">
      <c r="C544" s="33">
        <v>45322</v>
      </c>
      <c r="D544" s="37">
        <v>9980.15</v>
      </c>
      <c r="E544" s="37">
        <v>26155</v>
      </c>
    </row>
    <row r="545" spans="3:5" x14ac:dyDescent="0.3">
      <c r="C545" s="33">
        <v>45321</v>
      </c>
      <c r="D545" s="37">
        <v>9758.61</v>
      </c>
      <c r="E545" s="37">
        <v>12797</v>
      </c>
    </row>
    <row r="546" spans="3:5" x14ac:dyDescent="0.3">
      <c r="C546" s="33">
        <v>45320</v>
      </c>
      <c r="D546" s="37">
        <v>9794.14</v>
      </c>
      <c r="E546" s="37">
        <v>12106</v>
      </c>
    </row>
    <row r="547" spans="3:5" x14ac:dyDescent="0.3">
      <c r="C547" s="33">
        <v>45316</v>
      </c>
      <c r="D547" s="37">
        <v>9689.57</v>
      </c>
      <c r="E547" s="37">
        <v>48424</v>
      </c>
    </row>
    <row r="548" spans="3:5" x14ac:dyDescent="0.3">
      <c r="C548" s="33">
        <v>45315</v>
      </c>
      <c r="D548" s="37">
        <v>9771.2099999999991</v>
      </c>
      <c r="E548" s="37">
        <v>14411</v>
      </c>
    </row>
    <row r="549" spans="3:5" x14ac:dyDescent="0.3">
      <c r="C549" s="33">
        <v>45314</v>
      </c>
      <c r="D549" s="37">
        <v>9666.93</v>
      </c>
      <c r="E549" s="37">
        <v>24535</v>
      </c>
    </row>
    <row r="550" spans="3:5" x14ac:dyDescent="0.3">
      <c r="C550" s="33">
        <v>45310</v>
      </c>
      <c r="D550" s="37">
        <v>9830.94</v>
      </c>
      <c r="E550" s="37">
        <v>26867</v>
      </c>
    </row>
    <row r="551" spans="3:5" x14ac:dyDescent="0.3">
      <c r="C551" s="33">
        <v>45308</v>
      </c>
      <c r="D551" s="37">
        <v>9851.82</v>
      </c>
      <c r="E551" s="37">
        <v>15551</v>
      </c>
    </row>
    <row r="552" spans="3:5" x14ac:dyDescent="0.3">
      <c r="C552" s="33">
        <v>45307</v>
      </c>
      <c r="D552" s="37">
        <v>9984.27</v>
      </c>
      <c r="E552" s="37">
        <v>27783</v>
      </c>
    </row>
    <row r="553" spans="3:5" x14ac:dyDescent="0.3">
      <c r="C553" s="33">
        <v>45306</v>
      </c>
      <c r="D553" s="37">
        <v>9885.24</v>
      </c>
      <c r="E553" s="37">
        <v>5153</v>
      </c>
    </row>
    <row r="554" spans="3:5" x14ac:dyDescent="0.3">
      <c r="C554" s="33">
        <v>45303</v>
      </c>
      <c r="D554" s="37">
        <v>9763.56</v>
      </c>
      <c r="E554" s="37">
        <v>156791</v>
      </c>
    </row>
    <row r="555" spans="3:5" x14ac:dyDescent="0.3">
      <c r="C555" s="33">
        <v>45302</v>
      </c>
      <c r="D555" s="37">
        <v>9808.4</v>
      </c>
      <c r="E555" s="37">
        <v>27766</v>
      </c>
    </row>
    <row r="556" spans="3:5" x14ac:dyDescent="0.3">
      <c r="C556" s="33">
        <v>45301</v>
      </c>
      <c r="D556" s="37">
        <v>9802.52</v>
      </c>
      <c r="E556" s="37">
        <v>20910</v>
      </c>
    </row>
    <row r="557" spans="3:5" x14ac:dyDescent="0.3">
      <c r="C557" s="33">
        <v>45300</v>
      </c>
      <c r="D557" s="37">
        <v>9823.1</v>
      </c>
      <c r="E557" s="37">
        <v>25518</v>
      </c>
    </row>
    <row r="558" spans="3:5" x14ac:dyDescent="0.3">
      <c r="C558" s="33">
        <v>45299</v>
      </c>
      <c r="D558" s="37">
        <v>9748.86</v>
      </c>
      <c r="E558" s="37">
        <v>15007</v>
      </c>
    </row>
    <row r="559" spans="3:5" x14ac:dyDescent="0.3">
      <c r="C559" s="33">
        <v>45296</v>
      </c>
      <c r="D559" s="37">
        <v>9818.93</v>
      </c>
      <c r="E559" s="37">
        <v>16795</v>
      </c>
    </row>
    <row r="560" spans="3:5" x14ac:dyDescent="0.3">
      <c r="C560" s="33">
        <v>45295</v>
      </c>
      <c r="D560" s="37">
        <v>9815.99</v>
      </c>
      <c r="E560" s="37">
        <v>7921</v>
      </c>
    </row>
    <row r="561" spans="3:5" x14ac:dyDescent="0.3">
      <c r="C561" s="33">
        <v>45294</v>
      </c>
      <c r="D561" s="37">
        <v>9874.4500000000007</v>
      </c>
      <c r="E561" s="37">
        <v>18740</v>
      </c>
    </row>
    <row r="562" spans="3:5" x14ac:dyDescent="0.3">
      <c r="C562" s="33">
        <v>45293</v>
      </c>
      <c r="D562" s="37">
        <v>9993.2900000000009</v>
      </c>
      <c r="E562" s="37">
        <v>5248</v>
      </c>
    </row>
    <row r="563" spans="3:5" x14ac:dyDescent="0.3">
      <c r="C563" s="33">
        <v>45292</v>
      </c>
      <c r="D563" s="37">
        <v>10076.64</v>
      </c>
      <c r="E563" s="37">
        <v>4551</v>
      </c>
    </row>
    <row r="564" spans="3:5" x14ac:dyDescent="0.3">
      <c r="C564" s="33">
        <v>45289</v>
      </c>
      <c r="D564" s="37">
        <v>10093.94</v>
      </c>
      <c r="E564" s="37">
        <v>196770</v>
      </c>
    </row>
    <row r="565" spans="3:5" x14ac:dyDescent="0.3">
      <c r="C565" s="33">
        <v>45288</v>
      </c>
      <c r="D565" s="37">
        <v>10068.209999999999</v>
      </c>
      <c r="E565" s="37">
        <v>9738</v>
      </c>
    </row>
    <row r="566" spans="3:5" x14ac:dyDescent="0.3">
      <c r="C566" s="33">
        <v>45287</v>
      </c>
      <c r="D566" s="37">
        <v>10080.219999999999</v>
      </c>
      <c r="E566" s="37">
        <v>27262</v>
      </c>
    </row>
    <row r="567" spans="3:5" x14ac:dyDescent="0.3">
      <c r="C567" s="33">
        <v>45286</v>
      </c>
      <c r="D567" s="37">
        <v>10068.700000000001</v>
      </c>
      <c r="E567" s="37">
        <v>8687</v>
      </c>
    </row>
    <row r="568" spans="3:5" x14ac:dyDescent="0.3">
      <c r="C568" s="33">
        <v>45282</v>
      </c>
      <c r="D568" s="37">
        <v>10011.120000000001</v>
      </c>
      <c r="E568" s="37">
        <v>29909</v>
      </c>
    </row>
    <row r="569" spans="3:5" x14ac:dyDescent="0.3">
      <c r="C569" s="33">
        <v>45281</v>
      </c>
      <c r="D569" s="37">
        <v>9814.33</v>
      </c>
      <c r="E569" s="37">
        <v>20304</v>
      </c>
    </row>
    <row r="570" spans="3:5" x14ac:dyDescent="0.3">
      <c r="C570" s="33">
        <v>45280</v>
      </c>
      <c r="D570" s="37">
        <v>9869.2099999999991</v>
      </c>
      <c r="E570" s="37">
        <v>32631</v>
      </c>
    </row>
    <row r="571" spans="3:5" x14ac:dyDescent="0.3">
      <c r="C571" s="33">
        <v>45279</v>
      </c>
      <c r="D571" s="37">
        <v>10031.07</v>
      </c>
      <c r="E571" s="37">
        <v>62540</v>
      </c>
    </row>
    <row r="572" spans="3:5" x14ac:dyDescent="0.3">
      <c r="C572" s="33">
        <v>45278</v>
      </c>
      <c r="D572" s="37">
        <v>10115.06</v>
      </c>
      <c r="E572" s="37">
        <v>18124</v>
      </c>
    </row>
    <row r="573" spans="3:5" x14ac:dyDescent="0.3">
      <c r="C573" s="33">
        <v>45275</v>
      </c>
      <c r="D573" s="37">
        <v>10081.44</v>
      </c>
      <c r="E573" s="37">
        <v>42251</v>
      </c>
    </row>
    <row r="574" spans="3:5" x14ac:dyDescent="0.3">
      <c r="C574" s="33">
        <v>45274</v>
      </c>
      <c r="D574" s="37">
        <v>10149.65</v>
      </c>
      <c r="E574" s="37">
        <v>39303</v>
      </c>
    </row>
    <row r="575" spans="3:5" x14ac:dyDescent="0.3">
      <c r="C575" s="33">
        <v>45273</v>
      </c>
      <c r="D575" s="37">
        <v>10179.59</v>
      </c>
      <c r="E575" s="37">
        <v>14221</v>
      </c>
    </row>
    <row r="576" spans="3:5" x14ac:dyDescent="0.3">
      <c r="C576" s="33">
        <v>45272</v>
      </c>
      <c r="D576" s="37">
        <v>10134.9</v>
      </c>
      <c r="E576" s="37">
        <v>66714</v>
      </c>
    </row>
    <row r="577" spans="3:5" x14ac:dyDescent="0.3">
      <c r="C577" s="33">
        <v>45271</v>
      </c>
      <c r="D577" s="37">
        <v>10328.120000000001</v>
      </c>
      <c r="E577" s="37">
        <v>26951</v>
      </c>
    </row>
    <row r="578" spans="3:5" x14ac:dyDescent="0.3">
      <c r="C578" s="33">
        <v>45268</v>
      </c>
      <c r="D578" s="37">
        <v>10389.42</v>
      </c>
      <c r="E578" s="37">
        <v>26793</v>
      </c>
    </row>
    <row r="579" spans="3:5" x14ac:dyDescent="0.3">
      <c r="C579" s="33">
        <v>45267</v>
      </c>
      <c r="D579" s="37">
        <v>10479.34</v>
      </c>
      <c r="E579" s="37">
        <v>12878</v>
      </c>
    </row>
    <row r="580" spans="3:5" x14ac:dyDescent="0.3">
      <c r="C580" s="33">
        <v>45266</v>
      </c>
      <c r="D580" s="37">
        <v>10413.530000000001</v>
      </c>
      <c r="E580" s="37">
        <v>5606</v>
      </c>
    </row>
    <row r="581" spans="3:5" x14ac:dyDescent="0.3">
      <c r="C581" s="33">
        <v>45265</v>
      </c>
      <c r="D581" s="37">
        <v>10504.73</v>
      </c>
      <c r="E581" s="37">
        <v>10422</v>
      </c>
    </row>
    <row r="582" spans="3:5" x14ac:dyDescent="0.3">
      <c r="C582" s="33">
        <v>45264</v>
      </c>
      <c r="D582" s="37">
        <v>10392.41</v>
      </c>
      <c r="E582" s="37">
        <v>16483</v>
      </c>
    </row>
    <row r="583" spans="3:5" x14ac:dyDescent="0.3">
      <c r="C583" s="33">
        <v>45261</v>
      </c>
      <c r="D583" s="37">
        <v>10372.91</v>
      </c>
      <c r="E583" s="37">
        <v>24771</v>
      </c>
    </row>
    <row r="584" spans="3:5" x14ac:dyDescent="0.3">
      <c r="C584" s="33">
        <v>45260</v>
      </c>
      <c r="D584" s="37">
        <v>10392.56</v>
      </c>
      <c r="E584" s="37">
        <v>3854</v>
      </c>
    </row>
    <row r="585" spans="3:5" x14ac:dyDescent="0.3">
      <c r="C585" s="33">
        <v>45259</v>
      </c>
      <c r="D585" s="37">
        <v>10378.94</v>
      </c>
      <c r="E585" s="37">
        <v>3869</v>
      </c>
    </row>
    <row r="586" spans="3:5" x14ac:dyDescent="0.3">
      <c r="C586" s="33">
        <v>45258</v>
      </c>
      <c r="D586" s="37">
        <v>10326.94</v>
      </c>
      <c r="E586" s="37">
        <v>4304</v>
      </c>
    </row>
    <row r="587" spans="3:5" x14ac:dyDescent="0.3">
      <c r="C587" s="33">
        <v>45254</v>
      </c>
      <c r="D587" s="37">
        <v>10308.27</v>
      </c>
      <c r="E587" s="37">
        <v>19608</v>
      </c>
    </row>
    <row r="588" spans="3:5" x14ac:dyDescent="0.3">
      <c r="C588" s="33">
        <v>45253</v>
      </c>
      <c r="D588" s="37">
        <v>10284.66</v>
      </c>
      <c r="E588" s="37">
        <v>10679</v>
      </c>
    </row>
    <row r="589" spans="3:5" x14ac:dyDescent="0.3">
      <c r="C589" s="33">
        <v>45252</v>
      </c>
      <c r="D589" s="37">
        <v>10286.620000000001</v>
      </c>
      <c r="E589" s="37">
        <v>2193</v>
      </c>
    </row>
    <row r="590" spans="3:5" x14ac:dyDescent="0.3">
      <c r="C590" s="33">
        <v>45251</v>
      </c>
      <c r="D590" s="37">
        <v>10320.67</v>
      </c>
      <c r="E590" s="37">
        <v>2923</v>
      </c>
    </row>
    <row r="591" spans="3:5" x14ac:dyDescent="0.3">
      <c r="C591" s="33">
        <v>45250</v>
      </c>
      <c r="D591" s="37">
        <v>10355.86</v>
      </c>
      <c r="E591" s="37">
        <v>5115</v>
      </c>
    </row>
    <row r="592" spans="3:5" x14ac:dyDescent="0.3">
      <c r="C592" s="33">
        <v>45247</v>
      </c>
      <c r="D592" s="37">
        <v>10314.15</v>
      </c>
      <c r="E592" s="37">
        <v>27463</v>
      </c>
    </row>
    <row r="593" spans="3:5" x14ac:dyDescent="0.3">
      <c r="C593" s="33">
        <v>45246</v>
      </c>
      <c r="D593" s="37">
        <v>10267.85</v>
      </c>
      <c r="E593" s="37">
        <v>25241</v>
      </c>
    </row>
    <row r="594" spans="3:5" x14ac:dyDescent="0.3">
      <c r="C594" s="33">
        <v>45245</v>
      </c>
      <c r="D594" s="37">
        <v>10251.48</v>
      </c>
      <c r="E594" s="37">
        <v>2770</v>
      </c>
    </row>
    <row r="595" spans="3:5" x14ac:dyDescent="0.3">
      <c r="C595" s="33">
        <v>45243</v>
      </c>
      <c r="D595" s="37">
        <v>10187.19</v>
      </c>
      <c r="E595" s="37">
        <v>1565</v>
      </c>
    </row>
    <row r="596" spans="3:5" x14ac:dyDescent="0.3">
      <c r="C596" s="33">
        <v>45240</v>
      </c>
      <c r="D596" s="37">
        <v>10183.370000000001</v>
      </c>
      <c r="E596" s="37">
        <v>9622</v>
      </c>
    </row>
    <row r="597" spans="3:5" x14ac:dyDescent="0.3">
      <c r="C597" s="33">
        <v>45239</v>
      </c>
      <c r="D597" s="37">
        <v>10193.61</v>
      </c>
      <c r="E597" s="37">
        <v>3871</v>
      </c>
    </row>
    <row r="598" spans="3:5" x14ac:dyDescent="0.3">
      <c r="C598" s="33">
        <v>45238</v>
      </c>
      <c r="D598" s="37">
        <v>10110.549999999999</v>
      </c>
      <c r="E598" s="37">
        <v>3573</v>
      </c>
    </row>
    <row r="599" spans="3:5" x14ac:dyDescent="0.3">
      <c r="C599" s="33">
        <v>45237</v>
      </c>
      <c r="D599" s="37">
        <v>10045.52</v>
      </c>
      <c r="E599" s="37">
        <v>4848</v>
      </c>
    </row>
    <row r="600" spans="3:5" x14ac:dyDescent="0.3">
      <c r="C600" s="33">
        <v>45236</v>
      </c>
      <c r="D600" s="37">
        <v>10076.540000000001</v>
      </c>
      <c r="E600" s="37">
        <v>4856</v>
      </c>
    </row>
    <row r="601" spans="3:5" x14ac:dyDescent="0.3">
      <c r="C601" s="33">
        <v>45233</v>
      </c>
      <c r="D601" s="37">
        <v>10067.280000000001</v>
      </c>
      <c r="E601" s="37">
        <v>32163</v>
      </c>
    </row>
    <row r="602" spans="3:5" x14ac:dyDescent="0.3">
      <c r="C602" s="33">
        <v>45232</v>
      </c>
      <c r="D602" s="37">
        <v>10101.43</v>
      </c>
      <c r="E602" s="37">
        <v>4409</v>
      </c>
    </row>
    <row r="603" spans="3:5" x14ac:dyDescent="0.3">
      <c r="C603" s="33">
        <v>45231</v>
      </c>
      <c r="D603" s="37">
        <v>10019.65</v>
      </c>
      <c r="E603" s="37">
        <v>10623</v>
      </c>
    </row>
    <row r="604" spans="3:5" x14ac:dyDescent="0.3">
      <c r="C604" s="33">
        <v>45230</v>
      </c>
      <c r="D604" s="37">
        <v>10183.81</v>
      </c>
      <c r="E604" s="37">
        <v>5038</v>
      </c>
    </row>
    <row r="605" spans="3:5" x14ac:dyDescent="0.3">
      <c r="C605" s="33">
        <v>45229</v>
      </c>
      <c r="D605" s="37">
        <v>10185.23</v>
      </c>
      <c r="E605" s="37">
        <v>11591</v>
      </c>
    </row>
    <row r="606" spans="3:5" x14ac:dyDescent="0.3">
      <c r="C606" s="33">
        <v>45226</v>
      </c>
      <c r="D606" s="37">
        <v>10342.379999999999</v>
      </c>
      <c r="E606" s="37">
        <v>49666</v>
      </c>
    </row>
    <row r="607" spans="3:5" x14ac:dyDescent="0.3">
      <c r="C607" s="33">
        <v>45225</v>
      </c>
      <c r="D607" s="37">
        <v>10218.450000000001</v>
      </c>
      <c r="E607" s="37">
        <v>41482</v>
      </c>
    </row>
    <row r="608" spans="3:5" x14ac:dyDescent="0.3">
      <c r="C608" s="33">
        <v>45224</v>
      </c>
      <c r="D608" s="37">
        <v>10384.86</v>
      </c>
      <c r="E608" s="37">
        <v>6396</v>
      </c>
    </row>
    <row r="609" spans="3:5" x14ac:dyDescent="0.3">
      <c r="C609" s="33">
        <v>45222</v>
      </c>
      <c r="D609" s="37">
        <v>10339.34</v>
      </c>
      <c r="E609" s="37">
        <v>6945</v>
      </c>
    </row>
    <row r="610" spans="3:5" x14ac:dyDescent="0.3">
      <c r="C610" s="33">
        <v>45219</v>
      </c>
      <c r="D610" s="37">
        <v>10513.01</v>
      </c>
      <c r="E610" s="37">
        <v>4987</v>
      </c>
    </row>
    <row r="611" spans="3:5" x14ac:dyDescent="0.3">
      <c r="C611" s="33">
        <v>45218</v>
      </c>
      <c r="D611" s="37">
        <v>10555.39</v>
      </c>
      <c r="E611" s="37">
        <v>64202</v>
      </c>
    </row>
    <row r="612" spans="3:5" x14ac:dyDescent="0.3">
      <c r="C612" s="33">
        <v>45217</v>
      </c>
      <c r="D612" s="37">
        <v>10576.71</v>
      </c>
      <c r="E612" s="37">
        <v>7790</v>
      </c>
    </row>
    <row r="613" spans="3:5" x14ac:dyDescent="0.3">
      <c r="C613" s="33">
        <v>45216</v>
      </c>
      <c r="D613" s="37">
        <v>10527.76</v>
      </c>
      <c r="E613" s="37">
        <v>15185</v>
      </c>
    </row>
    <row r="614" spans="3:5" x14ac:dyDescent="0.3">
      <c r="C614" s="33">
        <v>45215</v>
      </c>
      <c r="D614" s="37">
        <v>10495.51</v>
      </c>
      <c r="E614" s="37">
        <v>7031</v>
      </c>
    </row>
    <row r="615" spans="3:5" x14ac:dyDescent="0.3">
      <c r="C615" s="33">
        <v>45212</v>
      </c>
      <c r="D615" s="37">
        <v>10511.68</v>
      </c>
      <c r="E615" s="37">
        <v>15564</v>
      </c>
    </row>
    <row r="616" spans="3:5" x14ac:dyDescent="0.3">
      <c r="C616" s="33">
        <v>45211</v>
      </c>
      <c r="D616" s="37">
        <v>10365.459999999999</v>
      </c>
      <c r="E616" s="37">
        <v>70709</v>
      </c>
    </row>
    <row r="617" spans="3:5" x14ac:dyDescent="0.3">
      <c r="C617" s="33">
        <v>45210</v>
      </c>
      <c r="D617" s="37">
        <v>10202.280000000001</v>
      </c>
      <c r="E617" s="37">
        <v>131747</v>
      </c>
    </row>
    <row r="618" spans="3:5" x14ac:dyDescent="0.3">
      <c r="C618" s="33">
        <v>45209</v>
      </c>
      <c r="D618" s="37">
        <v>10166.799999999999</v>
      </c>
      <c r="E618" s="37">
        <v>5322</v>
      </c>
    </row>
    <row r="619" spans="3:5" x14ac:dyDescent="0.3">
      <c r="C619" s="33">
        <v>45208</v>
      </c>
      <c r="D619" s="37">
        <v>10034.01</v>
      </c>
      <c r="E619" s="37">
        <v>3265</v>
      </c>
    </row>
    <row r="620" spans="3:5" x14ac:dyDescent="0.3">
      <c r="C620" s="33">
        <v>45205</v>
      </c>
      <c r="D620" s="37">
        <v>10095.16</v>
      </c>
      <c r="E620" s="37">
        <v>6122</v>
      </c>
    </row>
    <row r="621" spans="3:5" x14ac:dyDescent="0.3">
      <c r="C621" s="33">
        <v>45204</v>
      </c>
      <c r="D621" s="37">
        <v>10013.92</v>
      </c>
      <c r="E621" s="37">
        <v>6627</v>
      </c>
    </row>
    <row r="622" spans="3:5" x14ac:dyDescent="0.3">
      <c r="C622" s="33">
        <v>45203</v>
      </c>
      <c r="D622" s="37">
        <v>9932.7199999999993</v>
      </c>
      <c r="E622" s="37">
        <v>7860</v>
      </c>
    </row>
    <row r="623" spans="3:5" x14ac:dyDescent="0.3">
      <c r="C623" s="33">
        <v>45202</v>
      </c>
      <c r="D623" s="37">
        <v>10134.61</v>
      </c>
      <c r="E623" s="37">
        <v>22896</v>
      </c>
    </row>
    <row r="624" spans="3:5" x14ac:dyDescent="0.3">
      <c r="C624" s="33">
        <v>45198</v>
      </c>
      <c r="D624" s="37">
        <v>10390.209999999999</v>
      </c>
      <c r="E624" s="37">
        <v>8698</v>
      </c>
    </row>
    <row r="625" spans="3:5" x14ac:dyDescent="0.3">
      <c r="C625" s="33">
        <v>45197</v>
      </c>
      <c r="D625" s="37">
        <v>10356.15</v>
      </c>
      <c r="E625" s="37">
        <v>3056</v>
      </c>
    </row>
    <row r="626" spans="3:5" x14ac:dyDescent="0.3">
      <c r="C626" s="33">
        <v>45196</v>
      </c>
      <c r="D626" s="37">
        <v>10462.040000000001</v>
      </c>
      <c r="E626" s="37">
        <v>33199</v>
      </c>
    </row>
    <row r="627" spans="3:5" x14ac:dyDescent="0.3">
      <c r="C627" s="33">
        <v>45195</v>
      </c>
      <c r="D627" s="37">
        <v>10339.15</v>
      </c>
      <c r="E627" s="37">
        <v>65408</v>
      </c>
    </row>
    <row r="628" spans="3:5" x14ac:dyDescent="0.3">
      <c r="C628" s="33">
        <v>45194</v>
      </c>
      <c r="D628" s="37">
        <v>10375.06</v>
      </c>
      <c r="E628" s="37">
        <v>21249</v>
      </c>
    </row>
    <row r="629" spans="3:5" x14ac:dyDescent="0.3">
      <c r="C629" s="33">
        <v>45191</v>
      </c>
      <c r="D629" s="37">
        <v>10326.26</v>
      </c>
      <c r="E629" s="37">
        <v>20997</v>
      </c>
    </row>
    <row r="630" spans="3:5" x14ac:dyDescent="0.3">
      <c r="C630" s="33">
        <v>45190</v>
      </c>
      <c r="D630" s="37">
        <v>10090.6</v>
      </c>
      <c r="E630" s="37">
        <v>15720</v>
      </c>
    </row>
    <row r="631" spans="3:5" x14ac:dyDescent="0.3">
      <c r="C631" s="33">
        <v>45189</v>
      </c>
      <c r="D631" s="37">
        <v>10142.01</v>
      </c>
      <c r="E631" s="37">
        <v>8505</v>
      </c>
    </row>
    <row r="632" spans="3:5" x14ac:dyDescent="0.3">
      <c r="C632" s="33">
        <v>45187</v>
      </c>
      <c r="D632" s="37">
        <v>10312.44</v>
      </c>
      <c r="E632" s="37">
        <v>15726</v>
      </c>
    </row>
    <row r="633" spans="3:5" x14ac:dyDescent="0.3">
      <c r="C633" s="33">
        <v>45184</v>
      </c>
      <c r="D633" s="37">
        <v>10317.83</v>
      </c>
      <c r="E633" s="37">
        <v>5627</v>
      </c>
    </row>
    <row r="634" spans="3:5" x14ac:dyDescent="0.3">
      <c r="C634" s="33">
        <v>45183</v>
      </c>
      <c r="D634" s="37">
        <v>10280.049999999999</v>
      </c>
      <c r="E634" s="37">
        <v>8941</v>
      </c>
    </row>
    <row r="635" spans="3:5" x14ac:dyDescent="0.3">
      <c r="C635" s="33">
        <v>45182</v>
      </c>
      <c r="D635" s="37">
        <v>10264.91</v>
      </c>
      <c r="E635" s="37">
        <v>2872</v>
      </c>
    </row>
    <row r="636" spans="3:5" x14ac:dyDescent="0.3">
      <c r="C636" s="33">
        <v>45181</v>
      </c>
      <c r="D636" s="37">
        <v>10293.280000000001</v>
      </c>
      <c r="E636" s="37">
        <v>15693</v>
      </c>
    </row>
    <row r="637" spans="3:5" x14ac:dyDescent="0.3">
      <c r="C637" s="33">
        <v>45180</v>
      </c>
      <c r="D637" s="37">
        <v>10324.74</v>
      </c>
      <c r="E637" s="37">
        <v>27433</v>
      </c>
    </row>
    <row r="638" spans="3:5" x14ac:dyDescent="0.3">
      <c r="C638" s="33">
        <v>45177</v>
      </c>
      <c r="D638" s="37">
        <v>10126.43</v>
      </c>
      <c r="E638" s="37">
        <v>9088</v>
      </c>
    </row>
    <row r="639" spans="3:5" x14ac:dyDescent="0.3">
      <c r="C639" s="33">
        <v>45176</v>
      </c>
      <c r="D639" s="37">
        <v>10078.06</v>
      </c>
      <c r="E639" s="37">
        <v>15432</v>
      </c>
    </row>
    <row r="640" spans="3:5" x14ac:dyDescent="0.3">
      <c r="C640" s="33">
        <v>45175</v>
      </c>
      <c r="D640" s="37">
        <v>9997.6</v>
      </c>
      <c r="E640" s="37">
        <v>18486</v>
      </c>
    </row>
    <row r="641" spans="3:5" x14ac:dyDescent="0.3">
      <c r="C641" s="33">
        <v>45174</v>
      </c>
      <c r="D641" s="37">
        <v>10061.5</v>
      </c>
      <c r="E641" s="37">
        <v>6959</v>
      </c>
    </row>
    <row r="642" spans="3:5" x14ac:dyDescent="0.3">
      <c r="C642" s="33">
        <v>45173</v>
      </c>
      <c r="D642" s="37">
        <v>10155.48</v>
      </c>
      <c r="E642" s="37">
        <v>46337</v>
      </c>
    </row>
    <row r="643" spans="3:5" x14ac:dyDescent="0.3">
      <c r="C643" s="33">
        <v>45170</v>
      </c>
      <c r="D643" s="37">
        <v>10125.69</v>
      </c>
      <c r="E643" s="37">
        <v>76845</v>
      </c>
    </row>
    <row r="644" spans="3:5" x14ac:dyDescent="0.3">
      <c r="C644" s="33">
        <v>45169</v>
      </c>
      <c r="D644" s="37">
        <v>9807.4699999999993</v>
      </c>
      <c r="E644" s="37">
        <v>38906</v>
      </c>
    </row>
    <row r="645" spans="3:5" x14ac:dyDescent="0.3">
      <c r="C645" s="33">
        <v>45168</v>
      </c>
      <c r="D645" s="37">
        <v>9569.61</v>
      </c>
      <c r="E645" s="37">
        <v>25623</v>
      </c>
    </row>
    <row r="646" spans="3:5" x14ac:dyDescent="0.3">
      <c r="C646" s="33">
        <v>45167</v>
      </c>
      <c r="D646" s="37">
        <v>9428.19</v>
      </c>
      <c r="E646" s="37">
        <v>7405</v>
      </c>
    </row>
    <row r="647" spans="3:5" x14ac:dyDescent="0.3">
      <c r="C647" s="33">
        <v>45166</v>
      </c>
      <c r="D647" s="37">
        <v>9403.64</v>
      </c>
      <c r="E647" s="37">
        <v>17273</v>
      </c>
    </row>
    <row r="648" spans="3:5" x14ac:dyDescent="0.3">
      <c r="C648" s="33">
        <v>45163</v>
      </c>
      <c r="D648" s="37">
        <v>9318.81</v>
      </c>
      <c r="E648" s="37">
        <v>10255</v>
      </c>
    </row>
    <row r="649" spans="3:5" x14ac:dyDescent="0.3">
      <c r="C649" s="33">
        <v>45162</v>
      </c>
      <c r="D649" s="37">
        <v>9379.2800000000007</v>
      </c>
      <c r="E649" s="37">
        <v>27124</v>
      </c>
    </row>
    <row r="650" spans="3:5" x14ac:dyDescent="0.3">
      <c r="C650" s="33">
        <v>45161</v>
      </c>
      <c r="D650" s="37">
        <v>9406.2800000000007</v>
      </c>
      <c r="E650" s="37">
        <v>10427</v>
      </c>
    </row>
    <row r="651" spans="3:5" x14ac:dyDescent="0.3">
      <c r="C651" s="33">
        <v>45160</v>
      </c>
      <c r="D651" s="37">
        <v>9304.07</v>
      </c>
      <c r="E651" s="37">
        <v>7836</v>
      </c>
    </row>
    <row r="652" spans="3:5" x14ac:dyDescent="0.3">
      <c r="C652" s="33">
        <v>45159</v>
      </c>
      <c r="D652" s="37">
        <v>9247.52</v>
      </c>
      <c r="E652" s="37">
        <v>8503</v>
      </c>
    </row>
    <row r="653" spans="3:5" x14ac:dyDescent="0.3">
      <c r="C653" s="33">
        <v>45156</v>
      </c>
      <c r="D653" s="37">
        <v>9275.2999999999993</v>
      </c>
      <c r="E653" s="37">
        <v>5401</v>
      </c>
    </row>
    <row r="654" spans="3:5" x14ac:dyDescent="0.3">
      <c r="C654" s="33">
        <v>45155</v>
      </c>
      <c r="D654" s="37">
        <v>9185.0400000000009</v>
      </c>
      <c r="E654" s="37">
        <v>27880</v>
      </c>
    </row>
    <row r="655" spans="3:5" x14ac:dyDescent="0.3">
      <c r="C655" s="33">
        <v>45154</v>
      </c>
      <c r="D655" s="37">
        <v>9230.85</v>
      </c>
      <c r="E655" s="37">
        <v>4284</v>
      </c>
    </row>
    <row r="656" spans="3:5" x14ac:dyDescent="0.3">
      <c r="C656" s="33">
        <v>45152</v>
      </c>
      <c r="D656" s="37">
        <v>9127.66</v>
      </c>
      <c r="E656" s="37">
        <v>13184</v>
      </c>
    </row>
    <row r="657" spans="3:5" x14ac:dyDescent="0.3">
      <c r="C657" s="33">
        <v>45149</v>
      </c>
      <c r="D657" s="37">
        <v>9168.6200000000008</v>
      </c>
      <c r="E657" s="37">
        <v>9761</v>
      </c>
    </row>
    <row r="658" spans="3:5" x14ac:dyDescent="0.3">
      <c r="C658" s="33">
        <v>45148</v>
      </c>
      <c r="D658" s="37">
        <v>9209.64</v>
      </c>
      <c r="E658" s="37">
        <v>15288</v>
      </c>
    </row>
    <row r="659" spans="3:5" x14ac:dyDescent="0.3">
      <c r="C659" s="33">
        <v>45147</v>
      </c>
      <c r="D659" s="37">
        <v>9274.56</v>
      </c>
      <c r="E659" s="37">
        <v>42825</v>
      </c>
    </row>
    <row r="660" spans="3:5" x14ac:dyDescent="0.3">
      <c r="C660" s="33">
        <v>45146</v>
      </c>
      <c r="D660" s="37">
        <v>9353.61</v>
      </c>
      <c r="E660" s="37">
        <v>41064</v>
      </c>
    </row>
    <row r="661" spans="3:5" x14ac:dyDescent="0.3">
      <c r="C661" s="33">
        <v>45145</v>
      </c>
      <c r="D661" s="37">
        <v>9325.77</v>
      </c>
      <c r="E661" s="37">
        <v>14769</v>
      </c>
    </row>
    <row r="662" spans="3:5" x14ac:dyDescent="0.3">
      <c r="C662" s="33">
        <v>45142</v>
      </c>
      <c r="D662" s="37">
        <v>9274.52</v>
      </c>
      <c r="E662" s="37">
        <v>13646</v>
      </c>
    </row>
    <row r="663" spans="3:5" x14ac:dyDescent="0.3">
      <c r="C663" s="33">
        <v>45141</v>
      </c>
      <c r="D663" s="37">
        <v>9351.7000000000007</v>
      </c>
      <c r="E663" s="37">
        <v>51012</v>
      </c>
    </row>
    <row r="664" spans="3:5" x14ac:dyDescent="0.3">
      <c r="C664" s="33">
        <v>45135</v>
      </c>
      <c r="D664" s="37">
        <v>9476.01</v>
      </c>
      <c r="E664" s="37">
        <v>6265</v>
      </c>
    </row>
    <row r="665" spans="3:5" x14ac:dyDescent="0.3">
      <c r="C665" s="33">
        <v>45133</v>
      </c>
      <c r="D665" s="37">
        <v>9561.7199999999993</v>
      </c>
      <c r="E665" s="37">
        <v>4982</v>
      </c>
    </row>
    <row r="666" spans="3:5" x14ac:dyDescent="0.3">
      <c r="C666" s="33">
        <v>45131</v>
      </c>
      <c r="D666" s="37">
        <v>9501.2999999999993</v>
      </c>
      <c r="E666" s="37">
        <v>4099</v>
      </c>
    </row>
    <row r="667" spans="3:5" x14ac:dyDescent="0.3">
      <c r="C667" s="33">
        <v>45128</v>
      </c>
      <c r="D667" s="37">
        <v>9573.24</v>
      </c>
      <c r="E667" s="37">
        <v>12217</v>
      </c>
    </row>
    <row r="668" spans="3:5" x14ac:dyDescent="0.3">
      <c r="C668" s="33">
        <v>45127</v>
      </c>
      <c r="D668" s="37">
        <v>9579.85</v>
      </c>
      <c r="E668" s="37">
        <v>7408</v>
      </c>
    </row>
    <row r="669" spans="3:5" x14ac:dyDescent="0.3">
      <c r="C669" s="33">
        <v>45126</v>
      </c>
      <c r="D669" s="37">
        <v>9415.1</v>
      </c>
      <c r="E669" s="37">
        <v>6539</v>
      </c>
    </row>
    <row r="670" spans="3:5" x14ac:dyDescent="0.3">
      <c r="C670" s="33">
        <v>45124</v>
      </c>
      <c r="D670" s="37">
        <v>9494.69</v>
      </c>
      <c r="E670" s="37">
        <v>17645</v>
      </c>
    </row>
    <row r="671" spans="3:5" x14ac:dyDescent="0.3">
      <c r="C671" s="33">
        <v>45121</v>
      </c>
      <c r="D671" s="37">
        <v>9412.2099999999991</v>
      </c>
      <c r="E671" s="37">
        <v>24987</v>
      </c>
    </row>
    <row r="672" spans="3:5" x14ac:dyDescent="0.3">
      <c r="C672" s="33">
        <v>45117</v>
      </c>
      <c r="D672" s="37">
        <v>9543.2900000000009</v>
      </c>
      <c r="E672" s="37">
        <v>25676</v>
      </c>
    </row>
    <row r="673" spans="3:5" x14ac:dyDescent="0.3">
      <c r="C673" s="33">
        <v>45114</v>
      </c>
      <c r="D673" s="37">
        <v>9653.99</v>
      </c>
      <c r="E673" s="37">
        <v>29612</v>
      </c>
    </row>
    <row r="674" spans="3:5" x14ac:dyDescent="0.3">
      <c r="C674" s="33">
        <v>45107</v>
      </c>
      <c r="D674" s="37">
        <v>9591.51</v>
      </c>
      <c r="E674" s="37">
        <v>22087</v>
      </c>
    </row>
    <row r="675" spans="3:5" x14ac:dyDescent="0.3">
      <c r="C675" s="33">
        <v>45105</v>
      </c>
      <c r="D675" s="37">
        <v>9350.18</v>
      </c>
      <c r="E675" s="37">
        <v>6979</v>
      </c>
    </row>
    <row r="676" spans="3:5" x14ac:dyDescent="0.3">
      <c r="C676" s="33">
        <v>45104</v>
      </c>
      <c r="D676" s="37">
        <v>9269.6200000000008</v>
      </c>
      <c r="E676" s="37">
        <v>3064</v>
      </c>
    </row>
    <row r="677" spans="3:5" x14ac:dyDescent="0.3">
      <c r="C677" s="33">
        <v>45103</v>
      </c>
      <c r="D677" s="37">
        <v>9276.3799999999992</v>
      </c>
      <c r="E677" s="37">
        <v>6145</v>
      </c>
    </row>
    <row r="678" spans="3:5" x14ac:dyDescent="0.3">
      <c r="C678" s="33">
        <v>45100</v>
      </c>
      <c r="D678" s="37">
        <v>9137.5499999999993</v>
      </c>
      <c r="E678" s="37">
        <v>26983</v>
      </c>
    </row>
    <row r="679" spans="3:5" x14ac:dyDescent="0.3">
      <c r="C679" s="33">
        <v>45099</v>
      </c>
      <c r="D679" s="37">
        <v>9203.7099999999991</v>
      </c>
      <c r="E679" s="37">
        <v>32008</v>
      </c>
    </row>
    <row r="680" spans="3:5" x14ac:dyDescent="0.3">
      <c r="C680" s="33">
        <v>45098</v>
      </c>
      <c r="D680" s="37">
        <v>9249.18</v>
      </c>
      <c r="E680" s="37">
        <v>31892</v>
      </c>
    </row>
    <row r="681" spans="3:5" x14ac:dyDescent="0.3">
      <c r="C681" s="33">
        <v>45097</v>
      </c>
      <c r="D681" s="37">
        <v>9306.81</v>
      </c>
      <c r="E681" s="37">
        <v>4705</v>
      </c>
    </row>
    <row r="682" spans="3:5" x14ac:dyDescent="0.3">
      <c r="C682" s="33">
        <v>45096</v>
      </c>
      <c r="D682" s="37">
        <v>9336.85</v>
      </c>
      <c r="E682" s="37">
        <v>3510</v>
      </c>
    </row>
    <row r="683" spans="3:5" x14ac:dyDescent="0.3">
      <c r="C683" s="33">
        <v>45093</v>
      </c>
      <c r="D683" s="37">
        <v>9411.0400000000009</v>
      </c>
      <c r="E683" s="37">
        <v>51892</v>
      </c>
    </row>
    <row r="684" spans="3:5" x14ac:dyDescent="0.3">
      <c r="C684" s="33">
        <v>45092</v>
      </c>
      <c r="D684" s="37">
        <v>9400.01</v>
      </c>
      <c r="E684" s="37">
        <v>17189</v>
      </c>
    </row>
    <row r="685" spans="3:5" x14ac:dyDescent="0.3">
      <c r="C685" s="33">
        <v>45091</v>
      </c>
      <c r="D685" s="37">
        <v>9342.5300000000007</v>
      </c>
      <c r="E685" s="37">
        <v>16123</v>
      </c>
    </row>
    <row r="686" spans="3:5" x14ac:dyDescent="0.3">
      <c r="C686" s="33">
        <v>45090</v>
      </c>
      <c r="D686" s="37">
        <v>9331.6</v>
      </c>
      <c r="E686" s="37">
        <v>4000</v>
      </c>
    </row>
    <row r="687" spans="3:5" x14ac:dyDescent="0.3">
      <c r="C687" s="33">
        <v>45089</v>
      </c>
      <c r="D687" s="37">
        <v>9358.9500000000007</v>
      </c>
      <c r="E687" s="37">
        <v>3500</v>
      </c>
    </row>
    <row r="688" spans="3:5" x14ac:dyDescent="0.3">
      <c r="C688" s="33">
        <v>45086</v>
      </c>
      <c r="D688" s="37">
        <v>9434.7999999999993</v>
      </c>
      <c r="E688" s="37">
        <v>4877</v>
      </c>
    </row>
    <row r="689" spans="3:5" x14ac:dyDescent="0.3">
      <c r="C689" s="33">
        <v>45085</v>
      </c>
      <c r="D689" s="37">
        <v>9462.24</v>
      </c>
      <c r="E689" s="37">
        <v>7311</v>
      </c>
    </row>
    <row r="690" spans="3:5" x14ac:dyDescent="0.3">
      <c r="C690" s="33">
        <v>45084</v>
      </c>
      <c r="D690" s="37">
        <v>9517.67</v>
      </c>
      <c r="E690" s="37">
        <v>8987</v>
      </c>
    </row>
    <row r="691" spans="3:5" x14ac:dyDescent="0.3">
      <c r="C691" s="33">
        <v>45083</v>
      </c>
      <c r="D691" s="37">
        <v>9537.7099999999991</v>
      </c>
      <c r="E691" s="37">
        <v>13838</v>
      </c>
    </row>
    <row r="692" spans="3:5" x14ac:dyDescent="0.3">
      <c r="C692" s="33">
        <v>45082</v>
      </c>
      <c r="D692" s="37">
        <v>9389.9699999999993</v>
      </c>
      <c r="E692" s="37">
        <v>48069</v>
      </c>
    </row>
    <row r="693" spans="3:5" x14ac:dyDescent="0.3">
      <c r="C693" s="33">
        <v>45079</v>
      </c>
      <c r="D693" s="37">
        <v>9299.51</v>
      </c>
      <c r="E693" s="37">
        <v>8834</v>
      </c>
    </row>
    <row r="694" spans="3:5" x14ac:dyDescent="0.3">
      <c r="C694" s="33">
        <v>45078</v>
      </c>
      <c r="D694" s="37">
        <v>9141.7199999999993</v>
      </c>
      <c r="E694" s="37">
        <v>6967</v>
      </c>
    </row>
    <row r="695" spans="3:5" x14ac:dyDescent="0.3">
      <c r="C695" s="33">
        <v>45077</v>
      </c>
      <c r="D695" s="37">
        <v>9171.3700000000008</v>
      </c>
      <c r="E695" s="37">
        <v>12371</v>
      </c>
    </row>
    <row r="696" spans="3:5" x14ac:dyDescent="0.3">
      <c r="C696" s="33">
        <v>45076</v>
      </c>
      <c r="D696" s="37">
        <v>9193.76</v>
      </c>
      <c r="E696" s="37">
        <v>8247</v>
      </c>
    </row>
    <row r="697" spans="3:5" x14ac:dyDescent="0.3">
      <c r="C697" s="33">
        <v>45072</v>
      </c>
      <c r="D697" s="37">
        <v>9209.69</v>
      </c>
      <c r="E697" s="37">
        <v>15172</v>
      </c>
    </row>
    <row r="698" spans="3:5" x14ac:dyDescent="0.3">
      <c r="C698" s="33">
        <v>45071</v>
      </c>
      <c r="D698" s="37">
        <v>9096.7800000000007</v>
      </c>
      <c r="E698" s="37">
        <v>2641</v>
      </c>
    </row>
    <row r="699" spans="3:5" x14ac:dyDescent="0.3">
      <c r="C699" s="33">
        <v>45070</v>
      </c>
      <c r="D699" s="37">
        <v>9084.9699999999993</v>
      </c>
      <c r="E699" s="37">
        <v>6053</v>
      </c>
    </row>
    <row r="700" spans="3:5" x14ac:dyDescent="0.3">
      <c r="C700" s="33">
        <v>45069</v>
      </c>
      <c r="D700" s="37">
        <v>9015.68</v>
      </c>
      <c r="E700" s="37">
        <v>7872</v>
      </c>
    </row>
    <row r="701" spans="3:5" x14ac:dyDescent="0.3">
      <c r="C701" s="33">
        <v>45068</v>
      </c>
      <c r="D701" s="37">
        <v>8974.7199999999993</v>
      </c>
      <c r="E701" s="37">
        <v>6155</v>
      </c>
    </row>
    <row r="702" spans="3:5" x14ac:dyDescent="0.3">
      <c r="C702" s="33">
        <v>45065</v>
      </c>
      <c r="D702" s="37">
        <v>8925.0300000000007</v>
      </c>
      <c r="E702" s="37">
        <v>6607</v>
      </c>
    </row>
    <row r="703" spans="3:5" x14ac:dyDescent="0.3">
      <c r="C703" s="33">
        <v>45063</v>
      </c>
      <c r="D703" s="37">
        <v>8940.86</v>
      </c>
      <c r="E703" s="37">
        <v>6478</v>
      </c>
    </row>
    <row r="704" spans="3:5" x14ac:dyDescent="0.3">
      <c r="C704" s="33">
        <v>45062</v>
      </c>
      <c r="D704" s="37">
        <v>8890.9699999999993</v>
      </c>
      <c r="E704" s="37">
        <v>10656</v>
      </c>
    </row>
    <row r="705" spans="3:5" x14ac:dyDescent="0.3">
      <c r="C705" s="33">
        <v>45061</v>
      </c>
      <c r="D705" s="37">
        <v>9019.65</v>
      </c>
      <c r="E705" s="37">
        <v>9445</v>
      </c>
    </row>
    <row r="706" spans="3:5" x14ac:dyDescent="0.3">
      <c r="C706" s="33">
        <v>45058</v>
      </c>
      <c r="D706" s="37">
        <v>9110.85</v>
      </c>
      <c r="E706" s="37">
        <v>11089</v>
      </c>
    </row>
    <row r="707" spans="3:5" x14ac:dyDescent="0.3">
      <c r="C707" s="33">
        <v>45057</v>
      </c>
      <c r="D707" s="37">
        <v>9077.3799999999992</v>
      </c>
      <c r="E707" s="37">
        <v>13731</v>
      </c>
    </row>
    <row r="708" spans="3:5" x14ac:dyDescent="0.3">
      <c r="C708" s="33">
        <v>45056</v>
      </c>
      <c r="D708" s="37">
        <v>8982.9500000000007</v>
      </c>
      <c r="E708" s="37">
        <v>13706</v>
      </c>
    </row>
    <row r="709" spans="3:5" x14ac:dyDescent="0.3">
      <c r="C709" s="33">
        <v>45055</v>
      </c>
      <c r="D709" s="37">
        <v>8930.57</v>
      </c>
      <c r="E709" s="37">
        <v>13632</v>
      </c>
    </row>
    <row r="710" spans="3:5" x14ac:dyDescent="0.3">
      <c r="C710" s="33">
        <v>45054</v>
      </c>
      <c r="D710" s="37">
        <v>8895.73</v>
      </c>
      <c r="E710" s="37">
        <v>8705</v>
      </c>
    </row>
    <row r="711" spans="3:5" x14ac:dyDescent="0.3">
      <c r="C711" s="33">
        <v>45051</v>
      </c>
      <c r="D711" s="37">
        <v>8749.06</v>
      </c>
      <c r="E711" s="37">
        <v>22177</v>
      </c>
    </row>
    <row r="712" spans="3:5" x14ac:dyDescent="0.3">
      <c r="C712" s="33">
        <v>45050</v>
      </c>
      <c r="D712" s="37">
        <v>8625.3799999999992</v>
      </c>
      <c r="E712" s="37">
        <v>8451</v>
      </c>
    </row>
    <row r="713" spans="3:5" x14ac:dyDescent="0.3">
      <c r="C713" s="33">
        <v>45049</v>
      </c>
      <c r="D713" s="37">
        <v>8622.68</v>
      </c>
      <c r="E713" s="37">
        <v>9698</v>
      </c>
    </row>
    <row r="714" spans="3:5" x14ac:dyDescent="0.3">
      <c r="C714" s="33">
        <v>45048</v>
      </c>
      <c r="D714" s="37">
        <v>8598.77</v>
      </c>
      <c r="E714" s="37">
        <v>21863</v>
      </c>
    </row>
    <row r="715" spans="3:5" x14ac:dyDescent="0.3">
      <c r="C715" s="33">
        <v>45044</v>
      </c>
      <c r="D715" s="37">
        <v>8418.5400000000009</v>
      </c>
      <c r="E715" s="37">
        <v>4374</v>
      </c>
    </row>
    <row r="716" spans="3:5" x14ac:dyDescent="0.3">
      <c r="C716" s="33">
        <v>45043</v>
      </c>
      <c r="D716" s="37">
        <v>8371.35</v>
      </c>
      <c r="E716" s="37">
        <v>8556</v>
      </c>
    </row>
    <row r="717" spans="3:5" x14ac:dyDescent="0.3">
      <c r="C717" s="33">
        <v>45042</v>
      </c>
      <c r="D717" s="37">
        <v>8333.52</v>
      </c>
      <c r="E717" s="37">
        <v>15699</v>
      </c>
    </row>
    <row r="718" spans="3:5" x14ac:dyDescent="0.3">
      <c r="C718" s="33">
        <v>45041</v>
      </c>
      <c r="D718" s="37">
        <v>8312.11</v>
      </c>
      <c r="E718" s="37">
        <v>4612</v>
      </c>
    </row>
    <row r="719" spans="3:5" x14ac:dyDescent="0.3">
      <c r="C719" s="33">
        <v>45040</v>
      </c>
      <c r="D719" s="37">
        <v>8294.27</v>
      </c>
      <c r="E719" s="37">
        <v>5814</v>
      </c>
    </row>
    <row r="720" spans="3:5" x14ac:dyDescent="0.3">
      <c r="C720" s="33">
        <v>45037</v>
      </c>
      <c r="D720" s="37">
        <v>8387.08</v>
      </c>
      <c r="E720" s="37">
        <v>11161</v>
      </c>
    </row>
    <row r="721" spans="3:5" x14ac:dyDescent="0.3">
      <c r="C721" s="33">
        <v>45036</v>
      </c>
      <c r="D721" s="37">
        <v>8546.34</v>
      </c>
      <c r="E721" s="37">
        <v>29007</v>
      </c>
    </row>
    <row r="722" spans="3:5" x14ac:dyDescent="0.3">
      <c r="C722" s="33">
        <v>45035</v>
      </c>
      <c r="D722" s="37">
        <v>8507.14</v>
      </c>
      <c r="E722" s="37">
        <v>22601</v>
      </c>
    </row>
    <row r="723" spans="3:5" x14ac:dyDescent="0.3">
      <c r="C723" s="33">
        <v>45034</v>
      </c>
      <c r="D723" s="37">
        <v>8560.5499999999993</v>
      </c>
      <c r="E723" s="37">
        <v>15019</v>
      </c>
    </row>
    <row r="724" spans="3:5" x14ac:dyDescent="0.3">
      <c r="C724" s="33">
        <v>45033</v>
      </c>
      <c r="D724" s="37">
        <v>8504.69</v>
      </c>
      <c r="E724" s="37">
        <v>43754</v>
      </c>
    </row>
    <row r="725" spans="3:5" x14ac:dyDescent="0.3">
      <c r="C725" s="33">
        <v>45029</v>
      </c>
      <c r="D725" s="37">
        <v>8499.74</v>
      </c>
      <c r="E725" s="37">
        <v>18019</v>
      </c>
    </row>
    <row r="726" spans="3:5" x14ac:dyDescent="0.3">
      <c r="C726" s="33">
        <v>45028</v>
      </c>
      <c r="D726" s="37">
        <v>8451.86</v>
      </c>
      <c r="E726" s="37">
        <v>15249</v>
      </c>
    </row>
    <row r="727" spans="3:5" x14ac:dyDescent="0.3">
      <c r="C727" s="33">
        <v>45027</v>
      </c>
      <c r="D727" s="37">
        <v>8483.9599999999991</v>
      </c>
      <c r="E727" s="37">
        <v>22248</v>
      </c>
    </row>
    <row r="728" spans="3:5" x14ac:dyDescent="0.3">
      <c r="C728" s="33">
        <v>45026</v>
      </c>
      <c r="D728" s="37">
        <v>8363.85</v>
      </c>
      <c r="E728" s="37">
        <v>7147</v>
      </c>
    </row>
    <row r="729" spans="3:5" x14ac:dyDescent="0.3">
      <c r="C729" s="33">
        <v>45022</v>
      </c>
      <c r="D729" s="37">
        <v>8344.5</v>
      </c>
      <c r="E729" s="37">
        <v>8017</v>
      </c>
    </row>
    <row r="730" spans="3:5" x14ac:dyDescent="0.3">
      <c r="C730" s="33">
        <v>45021</v>
      </c>
      <c r="D730" s="37">
        <v>8284.66</v>
      </c>
      <c r="E730" s="37">
        <v>8553</v>
      </c>
    </row>
    <row r="731" spans="3:5" x14ac:dyDescent="0.3">
      <c r="C731" s="33">
        <v>45019</v>
      </c>
      <c r="D731" s="37">
        <v>8332.39</v>
      </c>
      <c r="E731" s="37">
        <v>17877</v>
      </c>
    </row>
    <row r="732" spans="3:5" x14ac:dyDescent="0.3">
      <c r="C732" s="33">
        <v>45016</v>
      </c>
      <c r="D732" s="37">
        <v>8127.22</v>
      </c>
      <c r="E732" s="37">
        <v>4402</v>
      </c>
    </row>
    <row r="733" spans="3:5" x14ac:dyDescent="0.3">
      <c r="C733" s="33">
        <v>45014</v>
      </c>
      <c r="D733" s="37">
        <v>8123.99</v>
      </c>
      <c r="E733" s="37">
        <v>6188</v>
      </c>
    </row>
    <row r="734" spans="3:5" x14ac:dyDescent="0.3">
      <c r="C734" s="33">
        <v>45013</v>
      </c>
      <c r="D734" s="37">
        <v>8040.88</v>
      </c>
      <c r="E734" s="37">
        <v>5820</v>
      </c>
    </row>
    <row r="735" spans="3:5" x14ac:dyDescent="0.3">
      <c r="C735" s="33">
        <v>45012</v>
      </c>
      <c r="D735" s="37">
        <v>8109.82</v>
      </c>
      <c r="E735" s="37">
        <v>4097</v>
      </c>
    </row>
    <row r="736" spans="3:5" x14ac:dyDescent="0.3">
      <c r="C736" s="33">
        <v>45009</v>
      </c>
      <c r="D736" s="37">
        <v>8071.94</v>
      </c>
      <c r="E736" s="37">
        <v>5859</v>
      </c>
    </row>
    <row r="737" spans="3:5" x14ac:dyDescent="0.3">
      <c r="C737" s="33">
        <v>45008</v>
      </c>
      <c r="D737" s="37">
        <v>8173.28</v>
      </c>
      <c r="E737" s="37">
        <v>17755</v>
      </c>
    </row>
    <row r="738" spans="3:5" x14ac:dyDescent="0.3">
      <c r="C738" s="33">
        <v>45007</v>
      </c>
      <c r="D738" s="37">
        <v>8087.09</v>
      </c>
      <c r="E738" s="37">
        <v>6975</v>
      </c>
    </row>
    <row r="739" spans="3:5" x14ac:dyDescent="0.3">
      <c r="C739" s="33">
        <v>45006</v>
      </c>
      <c r="D739" s="37">
        <v>8064.1</v>
      </c>
      <c r="E739" s="37">
        <v>4416</v>
      </c>
    </row>
    <row r="740" spans="3:5" x14ac:dyDescent="0.3">
      <c r="C740" s="33">
        <v>45005</v>
      </c>
      <c r="D740" s="37">
        <v>8054.89</v>
      </c>
      <c r="E740" s="37">
        <v>13734</v>
      </c>
    </row>
    <row r="741" spans="3:5" x14ac:dyDescent="0.3">
      <c r="C741" s="33">
        <v>45002</v>
      </c>
      <c r="D741" s="37">
        <v>8144.96</v>
      </c>
      <c r="E741" s="37">
        <v>9322</v>
      </c>
    </row>
    <row r="742" spans="3:5" x14ac:dyDescent="0.3">
      <c r="C742" s="33">
        <v>45001</v>
      </c>
      <c r="D742" s="37">
        <v>8267.51</v>
      </c>
      <c r="E742" s="37">
        <v>7283</v>
      </c>
    </row>
    <row r="743" spans="3:5" x14ac:dyDescent="0.3">
      <c r="C743" s="33">
        <v>45000</v>
      </c>
      <c r="D743" s="37">
        <v>8303.0400000000009</v>
      </c>
      <c r="E743" s="37">
        <v>14426</v>
      </c>
    </row>
    <row r="744" spans="3:5" x14ac:dyDescent="0.3">
      <c r="C744" s="33">
        <v>44999</v>
      </c>
      <c r="D744" s="37">
        <v>8345.6200000000008</v>
      </c>
      <c r="E744" s="37">
        <v>5905</v>
      </c>
    </row>
    <row r="745" spans="3:5" x14ac:dyDescent="0.3">
      <c r="C745" s="33">
        <v>44998</v>
      </c>
      <c r="D745" s="37">
        <v>8347.68</v>
      </c>
      <c r="E745" s="37">
        <v>6820</v>
      </c>
    </row>
    <row r="746" spans="3:5" x14ac:dyDescent="0.3">
      <c r="C746" s="33">
        <v>44995</v>
      </c>
      <c r="D746" s="37">
        <v>8426.5300000000007</v>
      </c>
      <c r="E746" s="37">
        <v>9319</v>
      </c>
    </row>
    <row r="747" spans="3:5" x14ac:dyDescent="0.3">
      <c r="C747" s="33">
        <v>44994</v>
      </c>
      <c r="D747" s="37">
        <v>8371.99</v>
      </c>
      <c r="E747" s="37">
        <v>7747</v>
      </c>
    </row>
    <row r="748" spans="3:5" x14ac:dyDescent="0.3">
      <c r="C748" s="33">
        <v>44993</v>
      </c>
      <c r="D748" s="37">
        <v>8520.07</v>
      </c>
      <c r="E748" s="37">
        <v>3397</v>
      </c>
    </row>
    <row r="749" spans="3:5" x14ac:dyDescent="0.3">
      <c r="C749" s="33">
        <v>44991</v>
      </c>
      <c r="D749" s="37">
        <v>8458.48</v>
      </c>
      <c r="E749" s="37">
        <v>3058</v>
      </c>
    </row>
    <row r="750" spans="3:5" x14ac:dyDescent="0.3">
      <c r="C750" s="33">
        <v>44988</v>
      </c>
      <c r="D750" s="37">
        <v>8425.11</v>
      </c>
      <c r="E750" s="37">
        <v>7220</v>
      </c>
    </row>
    <row r="751" spans="3:5" x14ac:dyDescent="0.3">
      <c r="C751" s="33">
        <v>44987</v>
      </c>
      <c r="D751" s="37">
        <v>8380.51</v>
      </c>
      <c r="E751" s="37">
        <v>8874</v>
      </c>
    </row>
    <row r="752" spans="3:5" x14ac:dyDescent="0.3">
      <c r="C752" s="33">
        <v>44986</v>
      </c>
      <c r="D752" s="37">
        <v>8588.77</v>
      </c>
      <c r="E752" s="37">
        <v>7748</v>
      </c>
    </row>
    <row r="753" spans="3:5" x14ac:dyDescent="0.3">
      <c r="C753" s="33">
        <v>44985</v>
      </c>
      <c r="D753" s="37">
        <v>8453.7199999999993</v>
      </c>
      <c r="E753" s="37">
        <v>6311</v>
      </c>
    </row>
    <row r="754" spans="3:5" x14ac:dyDescent="0.3">
      <c r="C754" s="33">
        <v>44984</v>
      </c>
      <c r="D754" s="37">
        <v>8461.91</v>
      </c>
      <c r="E754" s="37">
        <v>5018</v>
      </c>
    </row>
    <row r="755" spans="3:5" x14ac:dyDescent="0.3">
      <c r="C755" s="33">
        <v>44981</v>
      </c>
      <c r="D755" s="37">
        <v>8486.75</v>
      </c>
      <c r="E755" s="37">
        <v>5462</v>
      </c>
    </row>
    <row r="756" spans="3:5" x14ac:dyDescent="0.3">
      <c r="C756" s="33">
        <v>44980</v>
      </c>
      <c r="D756" s="37">
        <v>8570.59</v>
      </c>
      <c r="E756" s="37">
        <v>99705</v>
      </c>
    </row>
    <row r="757" spans="3:5" x14ac:dyDescent="0.3">
      <c r="C757" s="33">
        <v>44979</v>
      </c>
      <c r="D757" s="37">
        <v>8482.14</v>
      </c>
      <c r="E757" s="37">
        <v>5454</v>
      </c>
    </row>
    <row r="758" spans="3:5" x14ac:dyDescent="0.3">
      <c r="C758" s="33">
        <v>44978</v>
      </c>
      <c r="D758" s="37">
        <v>8495.67</v>
      </c>
      <c r="E758" s="37">
        <v>3883</v>
      </c>
    </row>
    <row r="759" spans="3:5" x14ac:dyDescent="0.3">
      <c r="C759" s="33">
        <v>44977</v>
      </c>
      <c r="D759" s="37">
        <v>8516.99</v>
      </c>
      <c r="E759" s="37">
        <v>7057</v>
      </c>
    </row>
    <row r="760" spans="3:5" x14ac:dyDescent="0.3">
      <c r="C760" s="33">
        <v>44974</v>
      </c>
      <c r="D760" s="37">
        <v>8631.36</v>
      </c>
      <c r="E760" s="37">
        <v>4221</v>
      </c>
    </row>
    <row r="761" spans="3:5" x14ac:dyDescent="0.3">
      <c r="C761" s="33">
        <v>44973</v>
      </c>
      <c r="D761" s="37">
        <v>8628.2199999999993</v>
      </c>
      <c r="E761" s="37">
        <v>5895</v>
      </c>
    </row>
    <row r="762" spans="3:5" x14ac:dyDescent="0.3">
      <c r="C762" s="33">
        <v>44972</v>
      </c>
      <c r="D762" s="37">
        <v>8669.09</v>
      </c>
      <c r="E762" s="37">
        <v>11155</v>
      </c>
    </row>
    <row r="763" spans="3:5" x14ac:dyDescent="0.3">
      <c r="C763" s="33">
        <v>44971</v>
      </c>
      <c r="D763" s="37">
        <v>8599.5499999999993</v>
      </c>
      <c r="E763" s="37">
        <v>3955</v>
      </c>
    </row>
    <row r="764" spans="3:5" x14ac:dyDescent="0.3">
      <c r="C764" s="33">
        <v>44970</v>
      </c>
      <c r="D764" s="37">
        <v>8633.7099999999991</v>
      </c>
      <c r="E764" s="37">
        <v>9512</v>
      </c>
    </row>
    <row r="765" spans="3:5" x14ac:dyDescent="0.3">
      <c r="C765" s="33">
        <v>44967</v>
      </c>
      <c r="D765" s="37">
        <v>8638.41</v>
      </c>
      <c r="E765" s="37">
        <v>10436</v>
      </c>
    </row>
    <row r="766" spans="3:5" x14ac:dyDescent="0.3">
      <c r="C766" s="33">
        <v>44966</v>
      </c>
      <c r="D766" s="37">
        <v>8626.51</v>
      </c>
      <c r="E766" s="37">
        <v>9891</v>
      </c>
    </row>
    <row r="767" spans="3:5" x14ac:dyDescent="0.3">
      <c r="C767" s="33">
        <v>44965</v>
      </c>
      <c r="D767" s="37">
        <v>8655.2199999999993</v>
      </c>
      <c r="E767" s="37">
        <v>5747</v>
      </c>
    </row>
    <row r="768" spans="3:5" x14ac:dyDescent="0.3">
      <c r="C768" s="33">
        <v>44964</v>
      </c>
      <c r="D768" s="37">
        <v>8579.51</v>
      </c>
      <c r="E768" s="37">
        <v>6268</v>
      </c>
    </row>
    <row r="769" spans="3:5" x14ac:dyDescent="0.3">
      <c r="C769" s="33">
        <v>44963</v>
      </c>
      <c r="D769" s="37">
        <v>8730.1</v>
      </c>
      <c r="E769" s="37">
        <v>6394</v>
      </c>
    </row>
    <row r="770" spans="3:5" x14ac:dyDescent="0.3">
      <c r="C770" s="33">
        <v>44960</v>
      </c>
      <c r="D770" s="37">
        <v>8764.69</v>
      </c>
      <c r="E770" s="37">
        <v>5035</v>
      </c>
    </row>
    <row r="771" spans="3:5" x14ac:dyDescent="0.3">
      <c r="C771" s="33">
        <v>44959</v>
      </c>
      <c r="D771" s="37">
        <v>8691.73</v>
      </c>
      <c r="E771" s="37">
        <v>6905</v>
      </c>
    </row>
    <row r="772" spans="3:5" x14ac:dyDescent="0.3">
      <c r="C772" s="33">
        <v>44958</v>
      </c>
      <c r="D772" s="37">
        <v>8586.2800000000007</v>
      </c>
      <c r="E772" s="37">
        <v>17471</v>
      </c>
    </row>
    <row r="773" spans="3:5" x14ac:dyDescent="0.3">
      <c r="C773" s="33">
        <v>44957</v>
      </c>
      <c r="D773" s="37">
        <v>8713.93</v>
      </c>
      <c r="E773" s="37">
        <v>17792</v>
      </c>
    </row>
    <row r="774" spans="3:5" x14ac:dyDescent="0.3">
      <c r="C774" s="33">
        <v>44956</v>
      </c>
      <c r="D774" s="37">
        <v>8642.68</v>
      </c>
      <c r="E774" s="37">
        <v>10428</v>
      </c>
    </row>
    <row r="775" spans="3:5" x14ac:dyDescent="0.3">
      <c r="C775" s="33">
        <v>44953</v>
      </c>
      <c r="D775" s="37">
        <v>8560.6</v>
      </c>
      <c r="E775" s="37">
        <v>12492</v>
      </c>
    </row>
    <row r="776" spans="3:5" x14ac:dyDescent="0.3">
      <c r="C776" s="33">
        <v>44951</v>
      </c>
      <c r="D776" s="37">
        <v>8606.56</v>
      </c>
      <c r="E776" s="37">
        <v>26919</v>
      </c>
    </row>
    <row r="777" spans="3:5" x14ac:dyDescent="0.3">
      <c r="C777" s="33">
        <v>44950</v>
      </c>
      <c r="D777" s="37">
        <v>8525.07</v>
      </c>
      <c r="E777" s="37">
        <v>46259</v>
      </c>
    </row>
    <row r="778" spans="3:5" x14ac:dyDescent="0.3">
      <c r="C778" s="33">
        <v>44949</v>
      </c>
      <c r="D778" s="37">
        <v>8255.1200000000008</v>
      </c>
      <c r="E778" s="37">
        <v>26165</v>
      </c>
    </row>
    <row r="779" spans="3:5" x14ac:dyDescent="0.3">
      <c r="C779" s="33">
        <v>44946</v>
      </c>
      <c r="D779" s="37">
        <v>8275.16</v>
      </c>
      <c r="E779" s="37">
        <v>6015</v>
      </c>
    </row>
    <row r="780" spans="3:5" x14ac:dyDescent="0.3">
      <c r="C780" s="33">
        <v>44945</v>
      </c>
      <c r="D780" s="37">
        <v>8333.23</v>
      </c>
      <c r="E780" s="37">
        <v>8626</v>
      </c>
    </row>
    <row r="781" spans="3:5" x14ac:dyDescent="0.3">
      <c r="C781" s="33">
        <v>44944</v>
      </c>
      <c r="D781" s="37">
        <v>8326.56</v>
      </c>
      <c r="E781" s="37">
        <v>6743</v>
      </c>
    </row>
    <row r="782" spans="3:5" x14ac:dyDescent="0.3">
      <c r="C782" s="33">
        <v>44943</v>
      </c>
      <c r="D782" s="37">
        <v>8303.92</v>
      </c>
      <c r="E782" s="37">
        <v>24267</v>
      </c>
    </row>
    <row r="783" spans="3:5" x14ac:dyDescent="0.3">
      <c r="C783" s="33">
        <v>44942</v>
      </c>
      <c r="D783" s="37">
        <v>8217.2900000000009</v>
      </c>
      <c r="E783" s="37">
        <v>10791</v>
      </c>
    </row>
    <row r="784" spans="3:5" x14ac:dyDescent="0.3">
      <c r="C784" s="33">
        <v>44939</v>
      </c>
      <c r="D784" s="37">
        <v>8284.0300000000007</v>
      </c>
      <c r="E784" s="37">
        <v>7707</v>
      </c>
    </row>
    <row r="785" spans="3:5" x14ac:dyDescent="0.3">
      <c r="C785" s="33">
        <v>44938</v>
      </c>
      <c r="D785" s="37">
        <v>8199.01</v>
      </c>
      <c r="E785" s="37">
        <v>7596</v>
      </c>
    </row>
    <row r="786" spans="3:5" x14ac:dyDescent="0.3">
      <c r="C786" s="33">
        <v>44937</v>
      </c>
      <c r="D786" s="37">
        <v>8119.43</v>
      </c>
      <c r="E786" s="37">
        <v>9957</v>
      </c>
    </row>
    <row r="787" spans="3:5" x14ac:dyDescent="0.3">
      <c r="C787" s="33">
        <v>44936</v>
      </c>
      <c r="D787" s="37">
        <v>8127.71</v>
      </c>
      <c r="E787" s="37">
        <v>8727</v>
      </c>
    </row>
    <row r="788" spans="3:5" x14ac:dyDescent="0.3">
      <c r="C788" s="33">
        <v>44935</v>
      </c>
      <c r="D788" s="37">
        <v>8210.6200000000008</v>
      </c>
      <c r="E788" s="37">
        <v>8376</v>
      </c>
    </row>
    <row r="789" spans="3:5" x14ac:dyDescent="0.3">
      <c r="C789" s="33">
        <v>44932</v>
      </c>
      <c r="D789" s="37">
        <v>8217.68</v>
      </c>
      <c r="E789" s="37">
        <v>7727</v>
      </c>
    </row>
    <row r="790" spans="3:5" x14ac:dyDescent="0.3">
      <c r="C790" s="33">
        <v>44931</v>
      </c>
      <c r="D790" s="37">
        <v>8291.08</v>
      </c>
      <c r="E790" s="37">
        <v>30619</v>
      </c>
    </row>
    <row r="791" spans="3:5" x14ac:dyDescent="0.3">
      <c r="C791" s="33">
        <v>44930</v>
      </c>
      <c r="D791" s="37">
        <v>8253.99</v>
      </c>
      <c r="E791" s="37">
        <v>17376</v>
      </c>
    </row>
    <row r="792" spans="3:5" x14ac:dyDescent="0.3">
      <c r="C792" s="33">
        <v>44929</v>
      </c>
      <c r="D792" s="37">
        <v>8219</v>
      </c>
      <c r="E792" s="37">
        <v>40272</v>
      </c>
    </row>
    <row r="793" spans="3:5" x14ac:dyDescent="0.3">
      <c r="C793" s="33">
        <v>44928</v>
      </c>
      <c r="D793" s="37">
        <v>8238.9500000000007</v>
      </c>
      <c r="E793" s="37">
        <v>28803</v>
      </c>
    </row>
    <row r="794" spans="3:5" x14ac:dyDescent="0.3">
      <c r="C794" s="33">
        <v>44925</v>
      </c>
      <c r="D794" s="37">
        <v>8235.0300000000007</v>
      </c>
      <c r="E794" s="37">
        <v>30724</v>
      </c>
    </row>
    <row r="795" spans="3:5" x14ac:dyDescent="0.3">
      <c r="C795" s="33">
        <v>44924</v>
      </c>
      <c r="D795" s="37">
        <v>8269.82</v>
      </c>
      <c r="E795" s="37">
        <v>29558</v>
      </c>
    </row>
    <row r="796" spans="3:5" x14ac:dyDescent="0.3">
      <c r="C796" s="33">
        <v>44923</v>
      </c>
      <c r="D796" s="37">
        <v>8259.58</v>
      </c>
      <c r="E796" s="37">
        <v>34891</v>
      </c>
    </row>
    <row r="797" spans="3:5" x14ac:dyDescent="0.3">
      <c r="C797" s="33">
        <v>44922</v>
      </c>
      <c r="D797" s="37">
        <v>8135.16</v>
      </c>
      <c r="E797" s="37">
        <v>4547</v>
      </c>
    </row>
    <row r="798" spans="3:5" x14ac:dyDescent="0.3">
      <c r="C798" s="33">
        <v>44921</v>
      </c>
      <c r="D798" s="37">
        <v>8088.16</v>
      </c>
      <c r="E798" s="37">
        <v>9318</v>
      </c>
    </row>
    <row r="799" spans="3:5" x14ac:dyDescent="0.3">
      <c r="C799" s="33">
        <v>44918</v>
      </c>
      <c r="D799" s="37">
        <v>7980.85</v>
      </c>
      <c r="E799" s="37">
        <v>21562</v>
      </c>
    </row>
    <row r="800" spans="3:5" x14ac:dyDescent="0.3">
      <c r="C800" s="33">
        <v>44917</v>
      </c>
      <c r="D800" s="37">
        <v>8173.04</v>
      </c>
      <c r="E800" s="37">
        <v>7513</v>
      </c>
    </row>
    <row r="801" spans="3:5" x14ac:dyDescent="0.3">
      <c r="C801" s="33">
        <v>44916</v>
      </c>
      <c r="D801" s="37">
        <v>8181.76</v>
      </c>
      <c r="E801" s="37">
        <v>11770</v>
      </c>
    </row>
    <row r="802" spans="3:5" x14ac:dyDescent="0.3">
      <c r="C802" s="33">
        <v>44915</v>
      </c>
      <c r="D802" s="37">
        <v>8352.19</v>
      </c>
      <c r="E802" s="37">
        <v>24493</v>
      </c>
    </row>
    <row r="803" spans="3:5" x14ac:dyDescent="0.3">
      <c r="C803" s="33">
        <v>44914</v>
      </c>
      <c r="D803" s="37">
        <v>8436.52</v>
      </c>
      <c r="E803" s="37">
        <v>4997</v>
      </c>
    </row>
    <row r="804" spans="3:5" x14ac:dyDescent="0.3">
      <c r="C804" s="33">
        <v>44911</v>
      </c>
      <c r="D804" s="37">
        <v>8315.39</v>
      </c>
      <c r="E804" s="37">
        <v>6731</v>
      </c>
    </row>
    <row r="805" spans="3:5" x14ac:dyDescent="0.3">
      <c r="C805" s="33">
        <v>44910</v>
      </c>
      <c r="D805" s="37">
        <v>8412.76</v>
      </c>
      <c r="E805" s="37">
        <v>8170</v>
      </c>
    </row>
    <row r="806" spans="3:5" x14ac:dyDescent="0.3">
      <c r="C806" s="33">
        <v>44909</v>
      </c>
      <c r="D806" s="37">
        <v>8469.31</v>
      </c>
      <c r="E806" s="37">
        <v>6627</v>
      </c>
    </row>
    <row r="807" spans="3:5" x14ac:dyDescent="0.3">
      <c r="C807" s="33">
        <v>44908</v>
      </c>
      <c r="D807" s="37">
        <v>8449.7099999999991</v>
      </c>
      <c r="E807" s="37">
        <v>26606</v>
      </c>
    </row>
    <row r="808" spans="3:5" x14ac:dyDescent="0.3">
      <c r="C808" s="33">
        <v>44907</v>
      </c>
      <c r="D808" s="37">
        <v>8486.41</v>
      </c>
      <c r="E808" s="37">
        <v>9719</v>
      </c>
    </row>
    <row r="809" spans="3:5" x14ac:dyDescent="0.3">
      <c r="C809" s="33">
        <v>44904</v>
      </c>
      <c r="D809" s="37">
        <v>8442.94</v>
      </c>
      <c r="E809" s="37">
        <v>7421</v>
      </c>
    </row>
    <row r="810" spans="3:5" x14ac:dyDescent="0.3">
      <c r="C810" s="33">
        <v>44903</v>
      </c>
      <c r="D810" s="37">
        <v>8509.0499999999993</v>
      </c>
      <c r="E810" s="37">
        <v>4709</v>
      </c>
    </row>
    <row r="811" spans="3:5" x14ac:dyDescent="0.3">
      <c r="C811" s="33">
        <v>44902</v>
      </c>
      <c r="D811" s="37">
        <v>8483.0300000000007</v>
      </c>
      <c r="E811" s="37">
        <v>5764</v>
      </c>
    </row>
    <row r="812" spans="3:5" x14ac:dyDescent="0.3">
      <c r="C812" s="33">
        <v>44901</v>
      </c>
      <c r="D812" s="37">
        <v>8541.83</v>
      </c>
      <c r="E812" s="37">
        <v>17410</v>
      </c>
    </row>
    <row r="813" spans="3:5" x14ac:dyDescent="0.3">
      <c r="C813" s="33">
        <v>44900</v>
      </c>
      <c r="D813" s="37">
        <v>8618.3700000000008</v>
      </c>
      <c r="E813" s="37">
        <v>8841</v>
      </c>
    </row>
    <row r="814" spans="3:5" x14ac:dyDescent="0.3">
      <c r="C814" s="33">
        <v>44897</v>
      </c>
      <c r="D814" s="37">
        <v>8639.25</v>
      </c>
      <c r="E814" s="37">
        <v>17525</v>
      </c>
    </row>
    <row r="815" spans="3:5" x14ac:dyDescent="0.3">
      <c r="C815" s="33">
        <v>44896</v>
      </c>
      <c r="D815" s="37">
        <v>8777.73</v>
      </c>
      <c r="E815" s="37">
        <v>17563</v>
      </c>
    </row>
    <row r="816" spans="3:5" x14ac:dyDescent="0.3">
      <c r="C816" s="33">
        <v>44895</v>
      </c>
      <c r="D816" s="37">
        <v>8797.8700000000008</v>
      </c>
      <c r="E816" s="37">
        <v>48101</v>
      </c>
    </row>
    <row r="817" spans="3:5" x14ac:dyDescent="0.3">
      <c r="C817" s="33">
        <v>44894</v>
      </c>
      <c r="D817" s="37">
        <v>8733.58</v>
      </c>
      <c r="E817" s="37">
        <v>14831</v>
      </c>
    </row>
    <row r="818" spans="3:5" x14ac:dyDescent="0.3">
      <c r="C818" s="33">
        <v>44893</v>
      </c>
      <c r="D818" s="37">
        <v>8825.26</v>
      </c>
      <c r="E818" s="37">
        <v>13930</v>
      </c>
    </row>
    <row r="819" spans="3:5" x14ac:dyDescent="0.3">
      <c r="C819" s="33">
        <v>44890</v>
      </c>
      <c r="D819" s="37">
        <v>8836.73</v>
      </c>
      <c r="E819" s="37">
        <v>27004</v>
      </c>
    </row>
    <row r="820" spans="3:5" x14ac:dyDescent="0.3">
      <c r="C820" s="33">
        <v>44889</v>
      </c>
      <c r="D820" s="37">
        <v>8773.3700000000008</v>
      </c>
      <c r="E820" s="37">
        <v>14746</v>
      </c>
    </row>
    <row r="821" spans="3:5" x14ac:dyDescent="0.3">
      <c r="C821" s="33">
        <v>44888</v>
      </c>
      <c r="D821" s="37">
        <v>8758.0300000000007</v>
      </c>
      <c r="E821" s="37">
        <v>16992</v>
      </c>
    </row>
    <row r="822" spans="3:5" x14ac:dyDescent="0.3">
      <c r="C822" s="33">
        <v>44887</v>
      </c>
      <c r="D822" s="37">
        <v>8693.59</v>
      </c>
      <c r="E822" s="37">
        <v>18527</v>
      </c>
    </row>
    <row r="823" spans="3:5" x14ac:dyDescent="0.3">
      <c r="C823" s="33">
        <v>44886</v>
      </c>
      <c r="D823" s="37">
        <v>8684.82</v>
      </c>
      <c r="E823" s="37">
        <v>51108</v>
      </c>
    </row>
    <row r="824" spans="3:5" x14ac:dyDescent="0.3">
      <c r="C824" s="33">
        <v>44883</v>
      </c>
      <c r="D824" s="37">
        <v>8668.5</v>
      </c>
      <c r="E824" s="37">
        <v>44179</v>
      </c>
    </row>
    <row r="825" spans="3:5" x14ac:dyDescent="0.3">
      <c r="C825" s="33">
        <v>44882</v>
      </c>
      <c r="D825" s="37">
        <v>8806.59</v>
      </c>
      <c r="E825" s="37">
        <v>12674</v>
      </c>
    </row>
    <row r="826" spans="3:5" x14ac:dyDescent="0.3">
      <c r="C826" s="33">
        <v>44881</v>
      </c>
      <c r="D826" s="37">
        <v>8952.81</v>
      </c>
      <c r="E826" s="37">
        <v>20221</v>
      </c>
    </row>
    <row r="827" spans="3:5" x14ac:dyDescent="0.3">
      <c r="C827" s="33">
        <v>44880</v>
      </c>
      <c r="D827" s="37">
        <v>8976.2900000000009</v>
      </c>
      <c r="E827" s="37">
        <v>48249</v>
      </c>
    </row>
    <row r="828" spans="3:5" x14ac:dyDescent="0.3">
      <c r="C828" s="33">
        <v>44879</v>
      </c>
      <c r="D828" s="37">
        <v>8969.82</v>
      </c>
      <c r="E828" s="37">
        <v>12400</v>
      </c>
    </row>
    <row r="829" spans="3:5" x14ac:dyDescent="0.3">
      <c r="C829" s="33">
        <v>44876</v>
      </c>
      <c r="D829" s="37">
        <v>8907</v>
      </c>
      <c r="E829" s="37">
        <v>12197</v>
      </c>
    </row>
    <row r="830" spans="3:5" x14ac:dyDescent="0.3">
      <c r="C830" s="33">
        <v>44875</v>
      </c>
      <c r="D830" s="37">
        <v>8904.7900000000009</v>
      </c>
      <c r="E830" s="37">
        <v>32961</v>
      </c>
    </row>
    <row r="831" spans="3:5" x14ac:dyDescent="0.3">
      <c r="C831" s="33">
        <v>44874</v>
      </c>
      <c r="D831" s="37">
        <v>9064.34</v>
      </c>
      <c r="E831" s="37">
        <v>27401</v>
      </c>
    </row>
    <row r="832" spans="3:5" x14ac:dyDescent="0.3">
      <c r="C832" s="33">
        <v>44872</v>
      </c>
      <c r="D832" s="37">
        <v>9135.1</v>
      </c>
      <c r="E832" s="37">
        <v>22749</v>
      </c>
    </row>
    <row r="833" spans="3:5" x14ac:dyDescent="0.3">
      <c r="C833" s="33">
        <v>44869</v>
      </c>
      <c r="D833" s="37">
        <v>9042.49</v>
      </c>
      <c r="E833" s="37">
        <v>53379</v>
      </c>
    </row>
    <row r="834" spans="3:5" x14ac:dyDescent="0.3">
      <c r="C834" s="33">
        <v>44868</v>
      </c>
      <c r="D834" s="37">
        <v>9052.09</v>
      </c>
      <c r="E834" s="37">
        <v>214646</v>
      </c>
    </row>
    <row r="835" spans="3:5" x14ac:dyDescent="0.3">
      <c r="C835" s="33">
        <v>44867</v>
      </c>
      <c r="D835" s="37">
        <v>9044.16</v>
      </c>
      <c r="E835" s="37">
        <v>18320</v>
      </c>
    </row>
    <row r="836" spans="3:5" x14ac:dyDescent="0.3">
      <c r="C836" s="33">
        <v>44866</v>
      </c>
      <c r="D836" s="37">
        <v>9266.7199999999993</v>
      </c>
      <c r="E836" s="37">
        <v>15838</v>
      </c>
    </row>
    <row r="837" spans="3:5" x14ac:dyDescent="0.3">
      <c r="C837" s="33">
        <v>44865</v>
      </c>
      <c r="D837" s="37">
        <v>9335.52</v>
      </c>
      <c r="E837" s="37">
        <v>81243</v>
      </c>
    </row>
    <row r="838" spans="3:5" x14ac:dyDescent="0.3">
      <c r="C838" s="33">
        <v>44862</v>
      </c>
      <c r="D838" s="37">
        <v>9304.7000000000007</v>
      </c>
      <c r="E838" s="37">
        <v>104139</v>
      </c>
    </row>
    <row r="839" spans="3:5" x14ac:dyDescent="0.3">
      <c r="C839" s="33">
        <v>44861</v>
      </c>
      <c r="D839" s="37">
        <v>8865.59</v>
      </c>
      <c r="E839" s="37">
        <v>12862</v>
      </c>
    </row>
    <row r="840" spans="3:5" x14ac:dyDescent="0.3">
      <c r="C840" s="33">
        <v>44859</v>
      </c>
      <c r="D840" s="37">
        <v>8824.82</v>
      </c>
      <c r="E840" s="37">
        <v>22433</v>
      </c>
    </row>
    <row r="841" spans="3:5" x14ac:dyDescent="0.3">
      <c r="C841" s="33">
        <v>44858</v>
      </c>
      <c r="D841" s="37">
        <v>8591.4699999999993</v>
      </c>
      <c r="E841" s="37">
        <v>1127</v>
      </c>
    </row>
    <row r="842" spans="3:5" x14ac:dyDescent="0.3">
      <c r="C842" s="33">
        <v>44855</v>
      </c>
      <c r="D842" s="37">
        <v>8526.2999999999993</v>
      </c>
      <c r="E842" s="37">
        <v>17687</v>
      </c>
    </row>
    <row r="843" spans="3:5" x14ac:dyDescent="0.3">
      <c r="C843" s="33">
        <v>44854</v>
      </c>
      <c r="D843" s="37">
        <v>8535.9</v>
      </c>
      <c r="E843" s="37">
        <v>6275</v>
      </c>
    </row>
    <row r="844" spans="3:5" x14ac:dyDescent="0.3">
      <c r="C844" s="33">
        <v>44853</v>
      </c>
      <c r="D844" s="37">
        <v>8547.86</v>
      </c>
      <c r="E844" s="37">
        <v>5274</v>
      </c>
    </row>
    <row r="845" spans="3:5" x14ac:dyDescent="0.3">
      <c r="C845" s="33">
        <v>44852</v>
      </c>
      <c r="D845" s="37">
        <v>8625.7199999999993</v>
      </c>
      <c r="E845" s="37">
        <v>12981</v>
      </c>
    </row>
    <row r="846" spans="3:5" x14ac:dyDescent="0.3">
      <c r="C846" s="33">
        <v>44851</v>
      </c>
      <c r="D846" s="37">
        <v>8553.69</v>
      </c>
      <c r="E846" s="37">
        <v>167035</v>
      </c>
    </row>
    <row r="847" spans="3:5" x14ac:dyDescent="0.3">
      <c r="C847" s="33">
        <v>44848</v>
      </c>
      <c r="D847" s="37">
        <v>8445.39</v>
      </c>
      <c r="E847" s="37">
        <v>6545</v>
      </c>
    </row>
    <row r="848" spans="3:5" x14ac:dyDescent="0.3">
      <c r="C848" s="33">
        <v>44847</v>
      </c>
      <c r="D848" s="37">
        <v>8472.5400000000009</v>
      </c>
      <c r="E848" s="37">
        <v>8141</v>
      </c>
    </row>
    <row r="849" spans="3:5" x14ac:dyDescent="0.3">
      <c r="C849" s="33">
        <v>44846</v>
      </c>
      <c r="D849" s="37">
        <v>8512.58</v>
      </c>
      <c r="E849" s="37">
        <v>6911</v>
      </c>
    </row>
    <row r="850" spans="3:5" x14ac:dyDescent="0.3">
      <c r="C850" s="33">
        <v>44845</v>
      </c>
      <c r="D850" s="37">
        <v>8508.75</v>
      </c>
      <c r="E850" s="37">
        <v>169186</v>
      </c>
    </row>
    <row r="851" spans="3:5" x14ac:dyDescent="0.3">
      <c r="C851" s="33">
        <v>44844</v>
      </c>
      <c r="D851" s="37">
        <v>8688.69</v>
      </c>
      <c r="E851" s="37">
        <v>15880</v>
      </c>
    </row>
    <row r="852" spans="3:5" x14ac:dyDescent="0.3">
      <c r="C852" s="33">
        <v>44841</v>
      </c>
      <c r="D852" s="37">
        <v>8607.74</v>
      </c>
      <c r="E852" s="37">
        <v>11691</v>
      </c>
    </row>
    <row r="853" spans="3:5" x14ac:dyDescent="0.3">
      <c r="C853" s="33">
        <v>44840</v>
      </c>
      <c r="D853" s="37">
        <v>8528.65</v>
      </c>
      <c r="E853" s="37">
        <v>7623</v>
      </c>
    </row>
    <row r="854" spans="3:5" x14ac:dyDescent="0.3">
      <c r="C854" s="33">
        <v>44838</v>
      </c>
      <c r="D854" s="37">
        <v>8514.14</v>
      </c>
      <c r="E854" s="37">
        <v>12183</v>
      </c>
    </row>
    <row r="855" spans="3:5" x14ac:dyDescent="0.3">
      <c r="C855" s="33">
        <v>44837</v>
      </c>
      <c r="D855" s="37">
        <v>8373.9500000000007</v>
      </c>
      <c r="E855" s="37">
        <v>34839</v>
      </c>
    </row>
    <row r="856" spans="3:5" x14ac:dyDescent="0.3">
      <c r="C856" s="33">
        <v>44834</v>
      </c>
      <c r="D856" s="37">
        <v>8647.5300000000007</v>
      </c>
      <c r="E856" s="37">
        <v>14910</v>
      </c>
    </row>
    <row r="857" spans="3:5" x14ac:dyDescent="0.3">
      <c r="C857" s="33">
        <v>44833</v>
      </c>
      <c r="D857" s="37">
        <v>8448.9699999999993</v>
      </c>
      <c r="E857" s="37">
        <v>11017</v>
      </c>
    </row>
    <row r="858" spans="3:5" x14ac:dyDescent="0.3">
      <c r="C858" s="33">
        <v>44832</v>
      </c>
      <c r="D858" s="37">
        <v>8542.32</v>
      </c>
      <c r="E858" s="37">
        <v>9957</v>
      </c>
    </row>
    <row r="859" spans="3:5" x14ac:dyDescent="0.3">
      <c r="C859" s="33">
        <v>44831</v>
      </c>
      <c r="D859" s="37">
        <v>8597.64</v>
      </c>
      <c r="E859" s="37">
        <v>15568</v>
      </c>
    </row>
    <row r="860" spans="3:5" x14ac:dyDescent="0.3">
      <c r="C860" s="33">
        <v>44830</v>
      </c>
      <c r="D860" s="37">
        <v>8654.44</v>
      </c>
      <c r="E860" s="37">
        <v>48343</v>
      </c>
    </row>
    <row r="861" spans="3:5" x14ac:dyDescent="0.3">
      <c r="C861" s="33">
        <v>44827</v>
      </c>
      <c r="D861" s="37">
        <v>9157.5</v>
      </c>
      <c r="E861" s="37">
        <v>17273</v>
      </c>
    </row>
    <row r="862" spans="3:5" x14ac:dyDescent="0.3">
      <c r="C862" s="33">
        <v>44826</v>
      </c>
      <c r="D862" s="37">
        <v>9216.25</v>
      </c>
      <c r="E862" s="37">
        <v>24395</v>
      </c>
    </row>
    <row r="863" spans="3:5" x14ac:dyDescent="0.3">
      <c r="C863" s="33">
        <v>44825</v>
      </c>
      <c r="D863" s="37">
        <v>9064.2000000000007</v>
      </c>
      <c r="E863" s="37">
        <v>10880</v>
      </c>
    </row>
    <row r="864" spans="3:5" x14ac:dyDescent="0.3">
      <c r="C864" s="33">
        <v>44824</v>
      </c>
      <c r="D864" s="37">
        <v>9111.44</v>
      </c>
      <c r="E864" s="37">
        <v>18786</v>
      </c>
    </row>
    <row r="865" spans="3:5" x14ac:dyDescent="0.3">
      <c r="C865" s="33">
        <v>44823</v>
      </c>
      <c r="D865" s="37">
        <v>9098.16</v>
      </c>
      <c r="E865" s="37">
        <v>163538</v>
      </c>
    </row>
    <row r="866" spans="3:5" x14ac:dyDescent="0.3">
      <c r="C866" s="33">
        <v>44820</v>
      </c>
      <c r="D866" s="37">
        <v>9041.56</v>
      </c>
      <c r="E866" s="37">
        <v>27722</v>
      </c>
    </row>
    <row r="867" spans="3:5" x14ac:dyDescent="0.3">
      <c r="C867" s="33">
        <v>44819</v>
      </c>
      <c r="D867" s="37">
        <v>9060.77</v>
      </c>
      <c r="E867" s="37">
        <v>49781</v>
      </c>
    </row>
    <row r="868" spans="3:5" x14ac:dyDescent="0.3">
      <c r="C868" s="33">
        <v>44818</v>
      </c>
      <c r="D868" s="37">
        <v>8777.34</v>
      </c>
      <c r="E868" s="37">
        <v>31421</v>
      </c>
    </row>
    <row r="869" spans="3:5" x14ac:dyDescent="0.3">
      <c r="C869" s="33">
        <v>44817</v>
      </c>
      <c r="D869" s="37">
        <v>8748.1299999999992</v>
      </c>
      <c r="E869" s="37">
        <v>27725</v>
      </c>
    </row>
    <row r="870" spans="3:5" x14ac:dyDescent="0.3">
      <c r="C870" s="33">
        <v>44816</v>
      </c>
      <c r="D870" s="37">
        <v>8749.9</v>
      </c>
      <c r="E870" s="37">
        <v>14063</v>
      </c>
    </row>
    <row r="871" spans="3:5" x14ac:dyDescent="0.3">
      <c r="C871" s="33">
        <v>44813</v>
      </c>
      <c r="D871" s="37">
        <v>8767.24</v>
      </c>
      <c r="E871" s="37">
        <v>15314</v>
      </c>
    </row>
    <row r="872" spans="3:5" x14ac:dyDescent="0.3">
      <c r="C872" s="33">
        <v>44812</v>
      </c>
      <c r="D872" s="37">
        <v>8612.34</v>
      </c>
      <c r="E872" s="37">
        <v>18893</v>
      </c>
    </row>
    <row r="873" spans="3:5" x14ac:dyDescent="0.3">
      <c r="C873" s="33">
        <v>44811</v>
      </c>
      <c r="D873" s="37">
        <v>8606.91</v>
      </c>
      <c r="E873" s="37">
        <v>47853</v>
      </c>
    </row>
    <row r="874" spans="3:5" x14ac:dyDescent="0.3">
      <c r="C874" s="33">
        <v>44810</v>
      </c>
      <c r="D874" s="37">
        <v>8706.68</v>
      </c>
      <c r="E874" s="37">
        <v>17373</v>
      </c>
    </row>
    <row r="875" spans="3:5" x14ac:dyDescent="0.3">
      <c r="C875" s="33">
        <v>44809</v>
      </c>
      <c r="D875" s="37">
        <v>8760.58</v>
      </c>
      <c r="E875" s="37">
        <v>34637</v>
      </c>
    </row>
    <row r="876" spans="3:5" x14ac:dyDescent="0.3">
      <c r="C876" s="33">
        <v>44806</v>
      </c>
      <c r="D876" s="37">
        <v>8742.15</v>
      </c>
      <c r="E876" s="37">
        <v>20045</v>
      </c>
    </row>
    <row r="877" spans="3:5" x14ac:dyDescent="0.3">
      <c r="C877" s="33">
        <v>44805</v>
      </c>
      <c r="D877" s="37">
        <v>8847.85</v>
      </c>
      <c r="E877" s="37">
        <v>32845</v>
      </c>
    </row>
    <row r="878" spans="3:5" x14ac:dyDescent="0.3">
      <c r="C878" s="33">
        <v>44803</v>
      </c>
      <c r="D878" s="37">
        <v>8910.5300000000007</v>
      </c>
      <c r="E878" s="37">
        <v>32164</v>
      </c>
    </row>
    <row r="879" spans="3:5" x14ac:dyDescent="0.3">
      <c r="C879" s="33">
        <v>44802</v>
      </c>
      <c r="D879" s="37">
        <v>8656.5400000000009</v>
      </c>
      <c r="E879" s="37">
        <v>15102</v>
      </c>
    </row>
    <row r="880" spans="3:5" x14ac:dyDescent="0.3">
      <c r="C880" s="33">
        <v>44799</v>
      </c>
      <c r="D880" s="37">
        <v>8545.26</v>
      </c>
      <c r="E880" s="37">
        <v>6572</v>
      </c>
    </row>
    <row r="881" spans="3:5" x14ac:dyDescent="0.3">
      <c r="C881" s="33">
        <v>44798</v>
      </c>
      <c r="D881" s="37">
        <v>8558</v>
      </c>
      <c r="E881" s="37">
        <v>30727</v>
      </c>
    </row>
    <row r="882" spans="3:5" x14ac:dyDescent="0.3">
      <c r="C882" s="33">
        <v>44797</v>
      </c>
      <c r="D882" s="37">
        <v>8518.41</v>
      </c>
      <c r="E882" s="37">
        <v>30051</v>
      </c>
    </row>
    <row r="883" spans="3:5" x14ac:dyDescent="0.3">
      <c r="C883" s="33">
        <v>44796</v>
      </c>
      <c r="D883" s="37">
        <v>8547.81</v>
      </c>
      <c r="E883" s="37">
        <v>28704</v>
      </c>
    </row>
    <row r="884" spans="3:5" x14ac:dyDescent="0.3">
      <c r="C884" s="33">
        <v>44795</v>
      </c>
      <c r="D884" s="37">
        <v>8451.4699999999993</v>
      </c>
      <c r="E884" s="37">
        <v>45475</v>
      </c>
    </row>
    <row r="885" spans="3:5" x14ac:dyDescent="0.3">
      <c r="C885" s="33">
        <v>44792</v>
      </c>
      <c r="D885" s="37">
        <v>8602.4</v>
      </c>
      <c r="E885" s="37">
        <v>16217</v>
      </c>
    </row>
    <row r="886" spans="3:5" x14ac:dyDescent="0.3">
      <c r="C886" s="33">
        <v>44791</v>
      </c>
      <c r="D886" s="37">
        <v>8760.9699999999993</v>
      </c>
      <c r="E886" s="37">
        <v>31237</v>
      </c>
    </row>
    <row r="887" spans="3:5" x14ac:dyDescent="0.3">
      <c r="C887" s="33">
        <v>44790</v>
      </c>
      <c r="D887" s="37">
        <v>8768.91</v>
      </c>
      <c r="E887" s="37">
        <v>26107</v>
      </c>
    </row>
    <row r="888" spans="3:5" x14ac:dyDescent="0.3">
      <c r="C888" s="33">
        <v>44789</v>
      </c>
      <c r="D888" s="37">
        <v>8819.92</v>
      </c>
      <c r="E888" s="37">
        <v>19579</v>
      </c>
    </row>
    <row r="889" spans="3:5" x14ac:dyDescent="0.3">
      <c r="C889" s="33">
        <v>44785</v>
      </c>
      <c r="D889" s="37">
        <v>8525.61</v>
      </c>
      <c r="E889" s="37">
        <v>23223</v>
      </c>
    </row>
    <row r="890" spans="3:5" x14ac:dyDescent="0.3">
      <c r="C890" s="33">
        <v>44784</v>
      </c>
      <c r="D890" s="37">
        <v>8642.09</v>
      </c>
      <c r="E890" s="37">
        <v>33619</v>
      </c>
    </row>
    <row r="891" spans="3:5" x14ac:dyDescent="0.3">
      <c r="C891" s="33">
        <v>44783</v>
      </c>
      <c r="D891" s="37">
        <v>8702.31</v>
      </c>
      <c r="E891" s="37">
        <v>26172</v>
      </c>
    </row>
    <row r="892" spans="3:5" x14ac:dyDescent="0.3">
      <c r="C892" s="33">
        <v>44781</v>
      </c>
      <c r="D892" s="37">
        <v>8745.5300000000007</v>
      </c>
      <c r="E892" s="37">
        <v>35238</v>
      </c>
    </row>
    <row r="893" spans="3:5" x14ac:dyDescent="0.3">
      <c r="C893" s="33">
        <v>44778</v>
      </c>
      <c r="D893" s="37">
        <v>8659.7800000000007</v>
      </c>
      <c r="E893" s="37">
        <v>30164</v>
      </c>
    </row>
    <row r="894" spans="3:5" x14ac:dyDescent="0.3">
      <c r="C894" s="33">
        <v>44777</v>
      </c>
      <c r="D894" s="37">
        <v>8791.99</v>
      </c>
      <c r="E894" s="37">
        <v>19098</v>
      </c>
    </row>
    <row r="895" spans="3:5" x14ac:dyDescent="0.3">
      <c r="C895" s="33">
        <v>44776</v>
      </c>
      <c r="D895" s="37">
        <v>8778.02</v>
      </c>
      <c r="E895" s="37">
        <v>31232</v>
      </c>
    </row>
    <row r="896" spans="3:5" x14ac:dyDescent="0.3">
      <c r="C896" s="33">
        <v>44775</v>
      </c>
      <c r="D896" s="37">
        <v>8925.32</v>
      </c>
      <c r="E896" s="37">
        <v>48112</v>
      </c>
    </row>
    <row r="897" spans="3:5" x14ac:dyDescent="0.3">
      <c r="C897" s="33">
        <v>44774</v>
      </c>
      <c r="D897" s="37">
        <v>8766.6200000000008</v>
      </c>
      <c r="E897" s="37">
        <v>221380</v>
      </c>
    </row>
    <row r="898" spans="3:5" x14ac:dyDescent="0.3">
      <c r="C898" s="33">
        <v>44771</v>
      </c>
      <c r="D898" s="37">
        <v>8541.18</v>
      </c>
      <c r="E898" s="37">
        <v>22625</v>
      </c>
    </row>
    <row r="899" spans="3:5" x14ac:dyDescent="0.3">
      <c r="C899" s="33">
        <v>44770</v>
      </c>
      <c r="D899" s="37">
        <v>8490.4</v>
      </c>
      <c r="E899" s="37">
        <v>37730</v>
      </c>
    </row>
    <row r="900" spans="3:5" x14ac:dyDescent="0.3">
      <c r="C900" s="33">
        <v>44769</v>
      </c>
      <c r="D900" s="37">
        <v>8431.74</v>
      </c>
      <c r="E900" s="37">
        <v>50137</v>
      </c>
    </row>
    <row r="901" spans="3:5" x14ac:dyDescent="0.3">
      <c r="C901" s="33">
        <v>44768</v>
      </c>
      <c r="D901" s="37">
        <v>8297.3799999999992</v>
      </c>
      <c r="E901" s="37">
        <v>20489</v>
      </c>
    </row>
    <row r="902" spans="3:5" x14ac:dyDescent="0.3">
      <c r="C902" s="33">
        <v>44767</v>
      </c>
      <c r="D902" s="37">
        <v>8386.2199999999993</v>
      </c>
      <c r="E902" s="37">
        <v>16790</v>
      </c>
    </row>
    <row r="903" spans="3:5" x14ac:dyDescent="0.3">
      <c r="C903" s="33">
        <v>44764</v>
      </c>
      <c r="D903" s="37">
        <v>8593.36</v>
      </c>
      <c r="E903" s="37">
        <v>29846</v>
      </c>
    </row>
    <row r="904" spans="3:5" x14ac:dyDescent="0.3">
      <c r="C904" s="33">
        <v>44763</v>
      </c>
      <c r="D904" s="37">
        <v>8569.17</v>
      </c>
      <c r="E904" s="37">
        <v>30461</v>
      </c>
    </row>
    <row r="905" spans="3:5" x14ac:dyDescent="0.3">
      <c r="C905" s="33">
        <v>44762</v>
      </c>
      <c r="D905" s="37">
        <v>8514.84</v>
      </c>
      <c r="E905" s="37">
        <v>24742</v>
      </c>
    </row>
    <row r="906" spans="3:5" x14ac:dyDescent="0.3">
      <c r="C906" s="33">
        <v>44761</v>
      </c>
      <c r="D906" s="37">
        <v>8484.85</v>
      </c>
      <c r="E906" s="37">
        <v>36544</v>
      </c>
    </row>
    <row r="907" spans="3:5" x14ac:dyDescent="0.3">
      <c r="C907" s="33">
        <v>44760</v>
      </c>
      <c r="D907" s="37">
        <v>8477.5</v>
      </c>
      <c r="E907" s="37">
        <v>203106</v>
      </c>
    </row>
    <row r="908" spans="3:5" x14ac:dyDescent="0.3">
      <c r="C908" s="33">
        <v>44757</v>
      </c>
      <c r="D908" s="37">
        <v>8549.26</v>
      </c>
      <c r="E908" s="37">
        <v>19010</v>
      </c>
    </row>
    <row r="909" spans="3:5" x14ac:dyDescent="0.3">
      <c r="C909" s="33">
        <v>44756</v>
      </c>
      <c r="D909" s="37">
        <v>8336.52</v>
      </c>
      <c r="E909" s="37">
        <v>17752</v>
      </c>
    </row>
    <row r="910" spans="3:5" x14ac:dyDescent="0.3">
      <c r="C910" s="33">
        <v>44755</v>
      </c>
      <c r="D910" s="37">
        <v>8217.73</v>
      </c>
      <c r="E910" s="37">
        <v>11188</v>
      </c>
    </row>
    <row r="911" spans="3:5" x14ac:dyDescent="0.3">
      <c r="C911" s="33">
        <v>44754</v>
      </c>
      <c r="D911" s="37">
        <v>8200.06</v>
      </c>
      <c r="E911" s="37">
        <v>21708</v>
      </c>
    </row>
    <row r="912" spans="3:5" x14ac:dyDescent="0.3">
      <c r="C912" s="33">
        <v>44753</v>
      </c>
      <c r="D912" s="37">
        <v>8280.34</v>
      </c>
      <c r="E912" s="37">
        <v>29533</v>
      </c>
    </row>
    <row r="913" spans="3:5" x14ac:dyDescent="0.3">
      <c r="C913" s="33">
        <v>44750</v>
      </c>
      <c r="D913" s="37">
        <v>8252.01</v>
      </c>
      <c r="E913" s="37">
        <v>15438</v>
      </c>
    </row>
    <row r="914" spans="3:5" x14ac:dyDescent="0.3">
      <c r="C914" s="33">
        <v>44749</v>
      </c>
      <c r="D914" s="37">
        <v>8371.9599999999991</v>
      </c>
      <c r="E914" s="37">
        <v>41884</v>
      </c>
    </row>
    <row r="915" spans="3:5" x14ac:dyDescent="0.3">
      <c r="C915" s="33">
        <v>44748</v>
      </c>
      <c r="D915" s="37">
        <v>8407.25</v>
      </c>
      <c r="E915" s="37">
        <v>57452</v>
      </c>
    </row>
    <row r="916" spans="3:5" x14ac:dyDescent="0.3">
      <c r="C916" s="33">
        <v>44747</v>
      </c>
      <c r="D916" s="37">
        <v>8124.8</v>
      </c>
      <c r="E916" s="37">
        <v>11776</v>
      </c>
    </row>
    <row r="917" spans="3:5" x14ac:dyDescent="0.3">
      <c r="C917" s="33">
        <v>44746</v>
      </c>
      <c r="D917" s="37">
        <v>8217.73</v>
      </c>
      <c r="E917" s="37">
        <v>28117</v>
      </c>
    </row>
    <row r="918" spans="3:5" x14ac:dyDescent="0.3">
      <c r="C918" s="33">
        <v>44743</v>
      </c>
      <c r="D918" s="37">
        <v>8175.23</v>
      </c>
      <c r="E918" s="37">
        <v>32479</v>
      </c>
    </row>
    <row r="919" spans="3:5" x14ac:dyDescent="0.3">
      <c r="C919" s="33">
        <v>44742</v>
      </c>
      <c r="D919" s="37">
        <v>8246.89</v>
      </c>
      <c r="E919" s="37">
        <v>26511</v>
      </c>
    </row>
    <row r="920" spans="3:5" x14ac:dyDescent="0.3">
      <c r="C920" s="33">
        <v>44741</v>
      </c>
      <c r="D920" s="37">
        <v>8283.2099999999991</v>
      </c>
      <c r="E920" s="37">
        <v>36742</v>
      </c>
    </row>
    <row r="921" spans="3:5" x14ac:dyDescent="0.3">
      <c r="C921" s="33">
        <v>44740</v>
      </c>
      <c r="D921" s="37">
        <v>8264.1299999999992</v>
      </c>
      <c r="E921" s="37">
        <v>34029</v>
      </c>
    </row>
    <row r="922" spans="3:5" x14ac:dyDescent="0.3">
      <c r="C922" s="33">
        <v>44739</v>
      </c>
      <c r="D922" s="37">
        <v>8221.24</v>
      </c>
      <c r="E922" s="37">
        <v>59721</v>
      </c>
    </row>
    <row r="923" spans="3:5" x14ac:dyDescent="0.3">
      <c r="C923" s="33">
        <v>44736</v>
      </c>
      <c r="D923" s="37">
        <v>8134.93</v>
      </c>
      <c r="E923" s="37">
        <v>60190</v>
      </c>
    </row>
    <row r="924" spans="3:5" x14ac:dyDescent="0.3">
      <c r="C924" s="33">
        <v>44735</v>
      </c>
      <c r="D924" s="37">
        <v>8056.45</v>
      </c>
      <c r="E924" s="37">
        <v>85491</v>
      </c>
    </row>
    <row r="925" spans="3:5" x14ac:dyDescent="0.3">
      <c r="C925" s="33">
        <v>44734</v>
      </c>
      <c r="D925" s="37">
        <v>7576.84</v>
      </c>
      <c r="E925" s="37">
        <v>19373</v>
      </c>
    </row>
    <row r="926" spans="3:5" x14ac:dyDescent="0.3">
      <c r="C926" s="33">
        <v>44733</v>
      </c>
      <c r="D926" s="37">
        <v>7575.72</v>
      </c>
      <c r="E926" s="37">
        <v>31904</v>
      </c>
    </row>
    <row r="927" spans="3:5" x14ac:dyDescent="0.3">
      <c r="C927" s="33">
        <v>44732</v>
      </c>
      <c r="D927" s="37">
        <v>7457.91</v>
      </c>
      <c r="E927" s="37">
        <v>18616</v>
      </c>
    </row>
    <row r="928" spans="3:5" x14ac:dyDescent="0.3">
      <c r="C928" s="33">
        <v>44729</v>
      </c>
      <c r="D928" s="37">
        <v>7488.19</v>
      </c>
      <c r="E928" s="37">
        <v>100435</v>
      </c>
    </row>
    <row r="929" spans="3:5" x14ac:dyDescent="0.3">
      <c r="C929" s="33">
        <v>44728</v>
      </c>
      <c r="D929" s="37">
        <v>7626.64</v>
      </c>
      <c r="E929" s="37">
        <v>32764</v>
      </c>
    </row>
    <row r="930" spans="3:5" x14ac:dyDescent="0.3">
      <c r="C930" s="33">
        <v>44727</v>
      </c>
      <c r="D930" s="37">
        <v>7645.72</v>
      </c>
      <c r="E930" s="37">
        <v>9800</v>
      </c>
    </row>
    <row r="931" spans="3:5" x14ac:dyDescent="0.3">
      <c r="C931" s="33">
        <v>44726</v>
      </c>
      <c r="D931" s="37">
        <v>7604.83</v>
      </c>
      <c r="E931" s="37">
        <v>11086</v>
      </c>
    </row>
    <row r="932" spans="3:5" x14ac:dyDescent="0.3">
      <c r="C932" s="33">
        <v>44725</v>
      </c>
      <c r="D932" s="37">
        <v>7688.08</v>
      </c>
      <c r="E932" s="37">
        <v>16861</v>
      </c>
    </row>
    <row r="933" spans="3:5" x14ac:dyDescent="0.3">
      <c r="C933" s="33">
        <v>44722</v>
      </c>
      <c r="D933" s="37">
        <v>7725.61</v>
      </c>
      <c r="E933" s="37">
        <v>10629</v>
      </c>
    </row>
    <row r="934" spans="3:5" x14ac:dyDescent="0.3">
      <c r="C934" s="33">
        <v>44721</v>
      </c>
      <c r="D934" s="37">
        <v>7716.6</v>
      </c>
      <c r="E934" s="37">
        <v>42941</v>
      </c>
    </row>
    <row r="935" spans="3:5" x14ac:dyDescent="0.3">
      <c r="C935" s="33">
        <v>44720</v>
      </c>
      <c r="D935" s="37">
        <v>7685.01</v>
      </c>
      <c r="E935" s="37">
        <v>42902</v>
      </c>
    </row>
    <row r="936" spans="3:5" x14ac:dyDescent="0.3">
      <c r="C936" s="33">
        <v>44719</v>
      </c>
      <c r="D936" s="37">
        <v>7602.79</v>
      </c>
      <c r="E936" s="37">
        <v>19666</v>
      </c>
    </row>
    <row r="937" spans="3:5" x14ac:dyDescent="0.3">
      <c r="C937" s="33">
        <v>44718</v>
      </c>
      <c r="D937" s="37">
        <v>7507.37</v>
      </c>
      <c r="E937" s="37">
        <v>13672</v>
      </c>
    </row>
    <row r="938" spans="3:5" x14ac:dyDescent="0.3">
      <c r="C938" s="33">
        <v>44715</v>
      </c>
      <c r="D938" s="37">
        <v>7503.86</v>
      </c>
      <c r="E938" s="37">
        <v>12437</v>
      </c>
    </row>
    <row r="939" spans="3:5" x14ac:dyDescent="0.3">
      <c r="C939" s="33">
        <v>44714</v>
      </c>
      <c r="D939" s="37">
        <v>7715.82</v>
      </c>
      <c r="E939" s="37">
        <v>10963</v>
      </c>
    </row>
    <row r="940" spans="3:5" x14ac:dyDescent="0.3">
      <c r="C940" s="33">
        <v>44713</v>
      </c>
      <c r="D940" s="37">
        <v>7728.34</v>
      </c>
      <c r="E940" s="37">
        <v>17185</v>
      </c>
    </row>
    <row r="941" spans="3:5" x14ac:dyDescent="0.3">
      <c r="C941" s="33">
        <v>44712</v>
      </c>
      <c r="D941" s="37">
        <v>7760.13</v>
      </c>
      <c r="E941" s="37">
        <v>18559</v>
      </c>
    </row>
    <row r="942" spans="3:5" x14ac:dyDescent="0.3">
      <c r="C942" s="33">
        <v>44711</v>
      </c>
      <c r="D942" s="37">
        <v>7802.33</v>
      </c>
      <c r="E942" s="37">
        <v>14729</v>
      </c>
    </row>
    <row r="943" spans="3:5" x14ac:dyDescent="0.3">
      <c r="C943" s="33">
        <v>44708</v>
      </c>
      <c r="D943" s="37">
        <v>7732.23</v>
      </c>
      <c r="E943" s="37">
        <v>26961</v>
      </c>
    </row>
    <row r="944" spans="3:5" x14ac:dyDescent="0.3">
      <c r="C944" s="33">
        <v>44707</v>
      </c>
      <c r="D944" s="37">
        <v>7600.59</v>
      </c>
      <c r="E944" s="37">
        <v>9529</v>
      </c>
    </row>
    <row r="945" spans="3:5" x14ac:dyDescent="0.3">
      <c r="C945" s="33">
        <v>44706</v>
      </c>
      <c r="D945" s="37">
        <v>7580.54</v>
      </c>
      <c r="E945" s="37">
        <v>10231</v>
      </c>
    </row>
    <row r="946" spans="3:5" x14ac:dyDescent="0.3">
      <c r="C946" s="33">
        <v>44705</v>
      </c>
      <c r="D946" s="37">
        <v>7594.07</v>
      </c>
      <c r="E946" s="37">
        <v>11773</v>
      </c>
    </row>
    <row r="947" spans="3:5" x14ac:dyDescent="0.3">
      <c r="C947" s="33">
        <v>44704</v>
      </c>
      <c r="D947" s="37">
        <v>7688.03</v>
      </c>
      <c r="E947" s="37">
        <v>50990</v>
      </c>
    </row>
    <row r="948" spans="3:5" x14ac:dyDescent="0.3">
      <c r="C948" s="33">
        <v>44701</v>
      </c>
      <c r="D948" s="37">
        <v>7387.17</v>
      </c>
      <c r="E948" s="37">
        <v>25503</v>
      </c>
    </row>
    <row r="949" spans="3:5" x14ac:dyDescent="0.3">
      <c r="C949" s="33">
        <v>44700</v>
      </c>
      <c r="D949" s="37">
        <v>7213.72</v>
      </c>
      <c r="E949" s="37">
        <v>9795</v>
      </c>
    </row>
    <row r="950" spans="3:5" x14ac:dyDescent="0.3">
      <c r="C950" s="33">
        <v>44699</v>
      </c>
      <c r="D950" s="37">
        <v>7366.43</v>
      </c>
      <c r="E950" s="37">
        <v>16306</v>
      </c>
    </row>
    <row r="951" spans="3:5" x14ac:dyDescent="0.3">
      <c r="C951" s="33">
        <v>44698</v>
      </c>
      <c r="D951" s="37">
        <v>7334.84</v>
      </c>
      <c r="E951" s="37">
        <v>32899</v>
      </c>
    </row>
    <row r="952" spans="3:5" x14ac:dyDescent="0.3">
      <c r="C952" s="33">
        <v>44697</v>
      </c>
      <c r="D952" s="37">
        <v>7062.66</v>
      </c>
      <c r="E952" s="37">
        <v>10137</v>
      </c>
    </row>
    <row r="953" spans="3:5" x14ac:dyDescent="0.3">
      <c r="C953" s="33">
        <v>44694</v>
      </c>
      <c r="D953" s="37">
        <v>6914.57</v>
      </c>
      <c r="E953" s="37">
        <v>21260</v>
      </c>
    </row>
    <row r="954" spans="3:5" x14ac:dyDescent="0.3">
      <c r="C954" s="33">
        <v>44693</v>
      </c>
      <c r="D954" s="37">
        <v>7061.05</v>
      </c>
      <c r="E954" s="37">
        <v>13977</v>
      </c>
    </row>
    <row r="955" spans="3:5" x14ac:dyDescent="0.3">
      <c r="C955" s="33">
        <v>44692</v>
      </c>
      <c r="D955" s="37">
        <v>7194.54</v>
      </c>
      <c r="E955" s="37">
        <v>18236</v>
      </c>
    </row>
    <row r="956" spans="3:5" x14ac:dyDescent="0.3">
      <c r="C956" s="33">
        <v>44691</v>
      </c>
      <c r="D956" s="37">
        <v>7318.78</v>
      </c>
      <c r="E956" s="37">
        <v>14101</v>
      </c>
    </row>
    <row r="957" spans="3:5" x14ac:dyDescent="0.3">
      <c r="C957" s="33">
        <v>44690</v>
      </c>
      <c r="D957" s="37">
        <v>7165.48</v>
      </c>
      <c r="E957" s="37">
        <v>16147</v>
      </c>
    </row>
    <row r="958" spans="3:5" x14ac:dyDescent="0.3">
      <c r="C958" s="33">
        <v>44687</v>
      </c>
      <c r="D958" s="37">
        <v>7085.59</v>
      </c>
      <c r="E958" s="37">
        <v>13396</v>
      </c>
    </row>
    <row r="959" spans="3:5" x14ac:dyDescent="0.3">
      <c r="C959" s="33">
        <v>44686</v>
      </c>
      <c r="D959" s="37">
        <v>7210.22</v>
      </c>
      <c r="E959" s="37">
        <v>16059</v>
      </c>
    </row>
    <row r="960" spans="3:5" x14ac:dyDescent="0.3">
      <c r="C960" s="33">
        <v>44685</v>
      </c>
      <c r="D960" s="37">
        <v>7204.52</v>
      </c>
      <c r="E960" s="37">
        <v>175739</v>
      </c>
    </row>
    <row r="961" spans="3:5" x14ac:dyDescent="0.3">
      <c r="C961" s="33">
        <v>44680</v>
      </c>
      <c r="D961" s="37">
        <v>7528.89</v>
      </c>
      <c r="E961" s="37">
        <v>28028</v>
      </c>
    </row>
    <row r="962" spans="3:5" x14ac:dyDescent="0.3">
      <c r="C962" s="33">
        <v>44679</v>
      </c>
      <c r="D962" s="37">
        <v>7679.99</v>
      </c>
      <c r="E962" s="37">
        <v>25885</v>
      </c>
    </row>
    <row r="963" spans="3:5" x14ac:dyDescent="0.3">
      <c r="C963" s="33">
        <v>44678</v>
      </c>
      <c r="D963" s="37">
        <v>7582.58</v>
      </c>
      <c r="E963" s="37">
        <v>32378</v>
      </c>
    </row>
    <row r="964" spans="3:5" x14ac:dyDescent="0.3">
      <c r="C964" s="33">
        <v>44677</v>
      </c>
      <c r="D964" s="37">
        <v>7692.99</v>
      </c>
      <c r="E964" s="37">
        <v>16904</v>
      </c>
    </row>
    <row r="965" spans="3:5" x14ac:dyDescent="0.3">
      <c r="C965" s="33">
        <v>44676</v>
      </c>
      <c r="D965" s="37">
        <v>7702.19</v>
      </c>
      <c r="E965" s="37">
        <v>33074</v>
      </c>
    </row>
    <row r="966" spans="3:5" x14ac:dyDescent="0.3">
      <c r="C966" s="33">
        <v>44673</v>
      </c>
      <c r="D966" s="37">
        <v>7694.89</v>
      </c>
      <c r="E966" s="37">
        <v>32002</v>
      </c>
    </row>
    <row r="967" spans="3:5" x14ac:dyDescent="0.3">
      <c r="C967" s="33">
        <v>44672</v>
      </c>
      <c r="D967" s="37">
        <v>7668.21</v>
      </c>
      <c r="E967" s="37">
        <v>46252</v>
      </c>
    </row>
    <row r="968" spans="3:5" x14ac:dyDescent="0.3">
      <c r="C968" s="33">
        <v>44671</v>
      </c>
      <c r="D968" s="37">
        <v>7466.48</v>
      </c>
      <c r="E968" s="37">
        <v>26283</v>
      </c>
    </row>
    <row r="969" spans="3:5" x14ac:dyDescent="0.3">
      <c r="C969" s="33">
        <v>44670</v>
      </c>
      <c r="D969" s="37">
        <v>7241.91</v>
      </c>
      <c r="E969" s="37">
        <v>16300</v>
      </c>
    </row>
    <row r="970" spans="3:5" x14ac:dyDescent="0.3">
      <c r="C970" s="33">
        <v>44669</v>
      </c>
      <c r="D970" s="37">
        <v>7374.86</v>
      </c>
      <c r="E970" s="37">
        <v>24771</v>
      </c>
    </row>
    <row r="971" spans="3:5" x14ac:dyDescent="0.3">
      <c r="C971" s="33">
        <v>44664</v>
      </c>
      <c r="D971" s="37">
        <v>7274.86</v>
      </c>
      <c r="E971" s="37">
        <v>15599</v>
      </c>
    </row>
    <row r="972" spans="3:5" x14ac:dyDescent="0.3">
      <c r="C972" s="33">
        <v>44663</v>
      </c>
      <c r="D972" s="37">
        <v>7412.83</v>
      </c>
      <c r="E972" s="37">
        <v>13956</v>
      </c>
    </row>
    <row r="973" spans="3:5" x14ac:dyDescent="0.3">
      <c r="C973" s="33">
        <v>44662</v>
      </c>
      <c r="D973" s="37">
        <v>7365.17</v>
      </c>
      <c r="E973" s="37">
        <v>11483</v>
      </c>
    </row>
    <row r="974" spans="3:5" x14ac:dyDescent="0.3">
      <c r="C974" s="33">
        <v>44659</v>
      </c>
      <c r="D974" s="37">
        <v>7358.45</v>
      </c>
      <c r="E974" s="37">
        <v>17458</v>
      </c>
    </row>
    <row r="975" spans="3:5" x14ac:dyDescent="0.3">
      <c r="C975" s="33">
        <v>44658</v>
      </c>
      <c r="D975" s="37">
        <v>7436</v>
      </c>
      <c r="E975" s="37">
        <v>18838</v>
      </c>
    </row>
    <row r="976" spans="3:5" x14ac:dyDescent="0.3">
      <c r="C976" s="33">
        <v>44657</v>
      </c>
      <c r="D976" s="37">
        <v>7540.38</v>
      </c>
      <c r="E976" s="37">
        <v>18102</v>
      </c>
    </row>
    <row r="977" spans="3:5" x14ac:dyDescent="0.3">
      <c r="C977" s="33">
        <v>44656</v>
      </c>
      <c r="D977" s="37">
        <v>7555.9</v>
      </c>
      <c r="E977" s="37">
        <v>22773</v>
      </c>
    </row>
    <row r="978" spans="3:5" x14ac:dyDescent="0.3">
      <c r="C978" s="33">
        <v>44655</v>
      </c>
      <c r="D978" s="37">
        <v>7570.36</v>
      </c>
      <c r="E978" s="37">
        <v>17931</v>
      </c>
    </row>
    <row r="979" spans="3:5" x14ac:dyDescent="0.3">
      <c r="C979" s="33">
        <v>44652</v>
      </c>
      <c r="D979" s="37">
        <v>7489.06</v>
      </c>
      <c r="E979" s="37">
        <v>11106</v>
      </c>
    </row>
    <row r="980" spans="3:5" x14ac:dyDescent="0.3">
      <c r="C980" s="33">
        <v>44651</v>
      </c>
      <c r="D980" s="37">
        <v>7360.59</v>
      </c>
      <c r="E980" s="37">
        <v>13241</v>
      </c>
    </row>
    <row r="981" spans="3:5" x14ac:dyDescent="0.3">
      <c r="C981" s="33">
        <v>44650</v>
      </c>
      <c r="D981" s="37">
        <v>7399.98</v>
      </c>
      <c r="E981" s="37">
        <v>16368</v>
      </c>
    </row>
    <row r="982" spans="3:5" x14ac:dyDescent="0.3">
      <c r="C982" s="33">
        <v>44649</v>
      </c>
      <c r="D982" s="37">
        <v>7241.81</v>
      </c>
      <c r="E982" s="37">
        <v>12010</v>
      </c>
    </row>
    <row r="983" spans="3:5" x14ac:dyDescent="0.3">
      <c r="C983" s="33">
        <v>44648</v>
      </c>
      <c r="D983" s="37">
        <v>7279.78</v>
      </c>
      <c r="E983" s="37">
        <v>25708</v>
      </c>
    </row>
    <row r="984" spans="3:5" x14ac:dyDescent="0.3">
      <c r="C984" s="33">
        <v>44645</v>
      </c>
      <c r="D984" s="37">
        <v>7223.85</v>
      </c>
      <c r="E984" s="37">
        <v>26363</v>
      </c>
    </row>
    <row r="985" spans="3:5" x14ac:dyDescent="0.3">
      <c r="C985" s="33">
        <v>44644</v>
      </c>
      <c r="D985" s="37">
        <v>7355.29</v>
      </c>
      <c r="E985" s="37">
        <v>14321</v>
      </c>
    </row>
    <row r="986" spans="3:5" x14ac:dyDescent="0.3">
      <c r="C986" s="33">
        <v>44643</v>
      </c>
      <c r="D986" s="37">
        <v>7442.28</v>
      </c>
      <c r="E986" s="37">
        <v>24315</v>
      </c>
    </row>
    <row r="987" spans="3:5" x14ac:dyDescent="0.3">
      <c r="C987" s="33">
        <v>44642</v>
      </c>
      <c r="D987" s="37">
        <v>7558.87</v>
      </c>
      <c r="E987" s="37">
        <v>35463</v>
      </c>
    </row>
    <row r="988" spans="3:5" x14ac:dyDescent="0.3">
      <c r="C988" s="33">
        <v>44641</v>
      </c>
      <c r="D988" s="37">
        <v>7500.41</v>
      </c>
      <c r="E988" s="37">
        <v>51601</v>
      </c>
    </row>
    <row r="989" spans="3:5" x14ac:dyDescent="0.3">
      <c r="C989" s="33">
        <v>44637</v>
      </c>
      <c r="D989" s="37">
        <v>7488.87</v>
      </c>
      <c r="E989" s="37">
        <v>26244</v>
      </c>
    </row>
    <row r="990" spans="3:5" x14ac:dyDescent="0.3">
      <c r="C990" s="33">
        <v>44636</v>
      </c>
      <c r="D990" s="37">
        <v>7287.03</v>
      </c>
      <c r="E990" s="37">
        <v>16395</v>
      </c>
    </row>
    <row r="991" spans="3:5" x14ac:dyDescent="0.3">
      <c r="C991" s="33">
        <v>44635</v>
      </c>
      <c r="D991" s="37">
        <v>7221.7</v>
      </c>
      <c r="E991" s="37">
        <v>43134</v>
      </c>
    </row>
    <row r="992" spans="3:5" x14ac:dyDescent="0.3">
      <c r="C992" s="33">
        <v>44634</v>
      </c>
      <c r="D992" s="37">
        <v>7121.66</v>
      </c>
      <c r="E992" s="37">
        <v>34425</v>
      </c>
    </row>
    <row r="993" spans="3:5" x14ac:dyDescent="0.3">
      <c r="C993" s="33">
        <v>44631</v>
      </c>
      <c r="D993" s="37">
        <v>6919.29</v>
      </c>
      <c r="E993" s="37">
        <v>32806</v>
      </c>
    </row>
    <row r="994" spans="3:5" x14ac:dyDescent="0.3">
      <c r="C994" s="33">
        <v>44630</v>
      </c>
      <c r="D994" s="37">
        <v>7016.27</v>
      </c>
      <c r="E994" s="37">
        <v>62846</v>
      </c>
    </row>
    <row r="995" spans="3:5" x14ac:dyDescent="0.3">
      <c r="C995" s="33">
        <v>44629</v>
      </c>
      <c r="D995" s="37">
        <v>6844.47</v>
      </c>
      <c r="E995" s="37">
        <v>55682</v>
      </c>
    </row>
    <row r="996" spans="3:5" x14ac:dyDescent="0.3">
      <c r="C996" s="33">
        <v>44628</v>
      </c>
      <c r="D996" s="37">
        <v>6625.79</v>
      </c>
      <c r="E996" s="37">
        <v>65654</v>
      </c>
    </row>
    <row r="997" spans="3:5" x14ac:dyDescent="0.3">
      <c r="C997" s="33">
        <v>44627</v>
      </c>
      <c r="D997" s="37">
        <v>6590.54</v>
      </c>
      <c r="E997" s="37">
        <v>100068</v>
      </c>
    </row>
    <row r="998" spans="3:5" x14ac:dyDescent="0.3">
      <c r="C998" s="33">
        <v>44624</v>
      </c>
      <c r="D998" s="37">
        <v>7053.36</v>
      </c>
      <c r="E998" s="37">
        <v>78496</v>
      </c>
    </row>
    <row r="999" spans="3:5" x14ac:dyDescent="0.3">
      <c r="C999" s="33">
        <v>44623</v>
      </c>
      <c r="D999" s="37">
        <v>7397.79</v>
      </c>
      <c r="E999" s="37">
        <v>32743</v>
      </c>
    </row>
    <row r="1000" spans="3:5" x14ac:dyDescent="0.3">
      <c r="C1000" s="33">
        <v>44622</v>
      </c>
      <c r="D1000" s="37">
        <v>7607.85</v>
      </c>
      <c r="E1000" s="37">
        <v>54833</v>
      </c>
    </row>
    <row r="1001" spans="3:5" x14ac:dyDescent="0.3">
      <c r="C1001" s="33">
        <v>44620</v>
      </c>
      <c r="D1001" s="37">
        <v>8093.21</v>
      </c>
      <c r="E1001" s="37">
        <v>20130</v>
      </c>
    </row>
    <row r="1002" spans="3:5" x14ac:dyDescent="0.3">
      <c r="C1002" s="33">
        <v>44617</v>
      </c>
      <c r="D1002" s="37">
        <v>8134.24</v>
      </c>
      <c r="E1002" s="37">
        <v>29880</v>
      </c>
    </row>
    <row r="1003" spans="3:5" x14ac:dyDescent="0.3">
      <c r="C1003" s="33">
        <v>44616</v>
      </c>
      <c r="D1003" s="37">
        <v>7992.92</v>
      </c>
      <c r="E1003" s="37">
        <v>39631</v>
      </c>
    </row>
    <row r="1004" spans="3:5" x14ac:dyDescent="0.3">
      <c r="C1004" s="33">
        <v>44615</v>
      </c>
      <c r="D1004" s="37">
        <v>8471.7999999999993</v>
      </c>
      <c r="E1004" s="37">
        <v>22873</v>
      </c>
    </row>
    <row r="1005" spans="3:5" x14ac:dyDescent="0.3">
      <c r="C1005" s="33">
        <v>44614</v>
      </c>
      <c r="D1005" s="37">
        <v>8398.83</v>
      </c>
      <c r="E1005" s="37">
        <v>17019</v>
      </c>
    </row>
    <row r="1006" spans="3:5" x14ac:dyDescent="0.3">
      <c r="C1006" s="33">
        <v>44613</v>
      </c>
      <c r="D1006" s="37">
        <v>8384.91</v>
      </c>
      <c r="E1006" s="37">
        <v>15482</v>
      </c>
    </row>
    <row r="1007" spans="3:5" x14ac:dyDescent="0.3">
      <c r="C1007" s="33">
        <v>44610</v>
      </c>
      <c r="D1007" s="37">
        <v>8329.7999999999993</v>
      </c>
      <c r="E1007" s="37">
        <v>17429</v>
      </c>
    </row>
    <row r="1008" spans="3:5" x14ac:dyDescent="0.3">
      <c r="C1008" s="33">
        <v>44609</v>
      </c>
      <c r="D1008" s="37">
        <v>8320.7900000000009</v>
      </c>
      <c r="E1008" s="37">
        <v>14279</v>
      </c>
    </row>
    <row r="1009" spans="3:5" x14ac:dyDescent="0.3">
      <c r="C1009" s="33">
        <v>44608</v>
      </c>
      <c r="D1009" s="37">
        <v>8358.33</v>
      </c>
      <c r="E1009" s="37">
        <v>20676</v>
      </c>
    </row>
    <row r="1010" spans="3:5" x14ac:dyDescent="0.3">
      <c r="C1010" s="33">
        <v>44607</v>
      </c>
      <c r="D1010" s="37">
        <v>8395.7099999999991</v>
      </c>
      <c r="E1010" s="37">
        <v>25256</v>
      </c>
    </row>
    <row r="1011" spans="3:5" x14ac:dyDescent="0.3">
      <c r="C1011" s="33">
        <v>44603</v>
      </c>
      <c r="D1011" s="37">
        <v>8510.17</v>
      </c>
      <c r="E1011" s="37">
        <v>18977</v>
      </c>
    </row>
    <row r="1012" spans="3:5" x14ac:dyDescent="0.3">
      <c r="C1012" s="33">
        <v>44602</v>
      </c>
      <c r="D1012" s="37">
        <v>8572.58</v>
      </c>
      <c r="E1012" s="37">
        <v>25794</v>
      </c>
    </row>
    <row r="1013" spans="3:5" x14ac:dyDescent="0.3">
      <c r="C1013" s="33">
        <v>44601</v>
      </c>
      <c r="D1013" s="37">
        <v>8715.5499999999993</v>
      </c>
      <c r="E1013" s="37">
        <v>41620</v>
      </c>
    </row>
    <row r="1014" spans="3:5" x14ac:dyDescent="0.3">
      <c r="C1014" s="33">
        <v>44600</v>
      </c>
      <c r="D1014" s="37">
        <v>8369.3799999999992</v>
      </c>
      <c r="E1014" s="37">
        <v>26435</v>
      </c>
    </row>
    <row r="1015" spans="3:5" x14ac:dyDescent="0.3">
      <c r="C1015" s="33">
        <v>44599</v>
      </c>
      <c r="D1015" s="37">
        <v>8286.0300000000007</v>
      </c>
      <c r="E1015" s="37">
        <v>11774</v>
      </c>
    </row>
    <row r="1016" spans="3:5" x14ac:dyDescent="0.3">
      <c r="C1016" s="33">
        <v>44596</v>
      </c>
      <c r="D1016" s="37">
        <v>8321.18</v>
      </c>
      <c r="E1016" s="37">
        <v>11859</v>
      </c>
    </row>
    <row r="1017" spans="3:5" x14ac:dyDescent="0.3">
      <c r="C1017" s="33">
        <v>44595</v>
      </c>
      <c r="D1017" s="37">
        <v>8363.68</v>
      </c>
      <c r="E1017" s="37">
        <v>28580</v>
      </c>
    </row>
    <row r="1018" spans="3:5" x14ac:dyDescent="0.3">
      <c r="C1018" s="33">
        <v>44594</v>
      </c>
      <c r="D1018" s="37">
        <v>8292.2199999999993</v>
      </c>
      <c r="E1018" s="37">
        <v>16778</v>
      </c>
    </row>
    <row r="1019" spans="3:5" x14ac:dyDescent="0.3">
      <c r="C1019" s="33">
        <v>44593</v>
      </c>
      <c r="D1019" s="37">
        <v>8331.89</v>
      </c>
      <c r="E1019" s="37">
        <v>20688</v>
      </c>
    </row>
    <row r="1020" spans="3:5" x14ac:dyDescent="0.3">
      <c r="C1020" s="33">
        <v>44592</v>
      </c>
      <c r="D1020" s="37">
        <v>8368.01</v>
      </c>
      <c r="E1020" s="37">
        <v>21011</v>
      </c>
    </row>
    <row r="1021" spans="3:5" x14ac:dyDescent="0.3">
      <c r="C1021" s="33">
        <v>44589</v>
      </c>
      <c r="D1021" s="37">
        <v>8327.7099999999991</v>
      </c>
      <c r="E1021" s="37">
        <v>25535</v>
      </c>
    </row>
    <row r="1022" spans="3:5" x14ac:dyDescent="0.3">
      <c r="C1022" s="33">
        <v>44588</v>
      </c>
      <c r="D1022" s="37">
        <v>8584.7900000000009</v>
      </c>
      <c r="E1022" s="37">
        <v>67592</v>
      </c>
    </row>
    <row r="1023" spans="3:5" x14ac:dyDescent="0.3">
      <c r="C1023" s="33">
        <v>44586</v>
      </c>
      <c r="D1023" s="37">
        <v>8373.86</v>
      </c>
      <c r="E1023" s="37">
        <v>72473</v>
      </c>
    </row>
    <row r="1024" spans="3:5" x14ac:dyDescent="0.3">
      <c r="C1024" s="33">
        <v>44585</v>
      </c>
      <c r="D1024" s="37">
        <v>7835.14</v>
      </c>
      <c r="E1024" s="37">
        <v>24990</v>
      </c>
    </row>
    <row r="1025" spans="3:5" x14ac:dyDescent="0.3">
      <c r="C1025" s="33">
        <v>44582</v>
      </c>
      <c r="D1025" s="37">
        <v>7972.72</v>
      </c>
      <c r="E1025" s="37">
        <v>28862</v>
      </c>
    </row>
    <row r="1026" spans="3:5" x14ac:dyDescent="0.3">
      <c r="C1026" s="33">
        <v>44581</v>
      </c>
      <c r="D1026" s="37">
        <v>7824.48</v>
      </c>
      <c r="E1026" s="37">
        <v>15605</v>
      </c>
    </row>
    <row r="1027" spans="3:5" x14ac:dyDescent="0.3">
      <c r="C1027" s="33">
        <v>44580</v>
      </c>
      <c r="D1027" s="37">
        <v>7797.37</v>
      </c>
      <c r="E1027" s="37">
        <v>20898</v>
      </c>
    </row>
    <row r="1028" spans="3:5" x14ac:dyDescent="0.3">
      <c r="C1028" s="33">
        <v>44579</v>
      </c>
      <c r="D1028" s="37">
        <v>7707.01</v>
      </c>
      <c r="E1028" s="37">
        <v>24935</v>
      </c>
    </row>
    <row r="1029" spans="3:5" x14ac:dyDescent="0.3">
      <c r="C1029" s="33">
        <v>44578</v>
      </c>
      <c r="D1029" s="37">
        <v>8046.81</v>
      </c>
      <c r="E1029" s="37">
        <v>30322</v>
      </c>
    </row>
    <row r="1030" spans="3:5" x14ac:dyDescent="0.3">
      <c r="C1030" s="33">
        <v>44575</v>
      </c>
      <c r="D1030" s="37">
        <v>7869.07</v>
      </c>
      <c r="E1030" s="37">
        <v>8566</v>
      </c>
    </row>
    <row r="1031" spans="3:5" x14ac:dyDescent="0.3">
      <c r="C1031" s="33">
        <v>44574</v>
      </c>
      <c r="D1031" s="37">
        <v>7862.75</v>
      </c>
      <c r="E1031" s="37">
        <v>28595</v>
      </c>
    </row>
    <row r="1032" spans="3:5" x14ac:dyDescent="0.3">
      <c r="C1032" s="33">
        <v>44573</v>
      </c>
      <c r="D1032" s="37">
        <v>7952.61</v>
      </c>
      <c r="E1032" s="37">
        <v>24561</v>
      </c>
    </row>
    <row r="1033" spans="3:5" x14ac:dyDescent="0.3">
      <c r="C1033" s="33">
        <v>44572</v>
      </c>
      <c r="D1033" s="37">
        <v>7929.88</v>
      </c>
      <c r="E1033" s="37">
        <v>11461</v>
      </c>
    </row>
    <row r="1034" spans="3:5" x14ac:dyDescent="0.3">
      <c r="C1034" s="33">
        <v>44571</v>
      </c>
      <c r="D1034" s="37">
        <v>7909.68</v>
      </c>
      <c r="E1034" s="37">
        <v>44867</v>
      </c>
    </row>
    <row r="1035" spans="3:5" x14ac:dyDescent="0.3">
      <c r="C1035" s="33">
        <v>44568</v>
      </c>
      <c r="D1035" s="37">
        <v>7699.03</v>
      </c>
      <c r="E1035" s="37">
        <v>12096</v>
      </c>
    </row>
    <row r="1036" spans="3:5" x14ac:dyDescent="0.3">
      <c r="C1036" s="33">
        <v>44567</v>
      </c>
      <c r="D1036" s="37">
        <v>7671.38</v>
      </c>
      <c r="E1036" s="37">
        <v>20224</v>
      </c>
    </row>
    <row r="1037" spans="3:5" x14ac:dyDescent="0.3">
      <c r="C1037" s="33">
        <v>44566</v>
      </c>
      <c r="D1037" s="37">
        <v>7568.61</v>
      </c>
      <c r="E1037" s="37">
        <v>15901</v>
      </c>
    </row>
    <row r="1038" spans="3:5" x14ac:dyDescent="0.3">
      <c r="C1038" s="33">
        <v>44565</v>
      </c>
      <c r="D1038" s="37">
        <v>7426.56</v>
      </c>
      <c r="E1038" s="37">
        <v>13432</v>
      </c>
    </row>
    <row r="1039" spans="3:5" x14ac:dyDescent="0.3">
      <c r="C1039" s="33">
        <v>44564</v>
      </c>
      <c r="D1039" s="37">
        <v>7321.45</v>
      </c>
      <c r="E1039" s="37">
        <v>20617</v>
      </c>
    </row>
    <row r="1040" spans="3:5" x14ac:dyDescent="0.3">
      <c r="C1040" s="33">
        <v>44561</v>
      </c>
      <c r="D1040" s="37">
        <v>7231.1</v>
      </c>
      <c r="E1040" s="37">
        <v>18702</v>
      </c>
    </row>
    <row r="1041" spans="3:5" x14ac:dyDescent="0.3">
      <c r="C1041" s="33">
        <v>44560</v>
      </c>
      <c r="D1041" s="37">
        <v>7092.31</v>
      </c>
      <c r="E1041" s="37">
        <v>26663</v>
      </c>
    </row>
    <row r="1042" spans="3:5" x14ac:dyDescent="0.3">
      <c r="C1042" s="33">
        <v>44559</v>
      </c>
      <c r="D1042" s="37">
        <v>7150.97</v>
      </c>
      <c r="E1042" s="37">
        <v>9354</v>
      </c>
    </row>
    <row r="1043" spans="3:5" x14ac:dyDescent="0.3">
      <c r="C1043" s="33">
        <v>44558</v>
      </c>
      <c r="D1043" s="37">
        <v>7104.72</v>
      </c>
      <c r="E1043" s="37">
        <v>6705</v>
      </c>
    </row>
    <row r="1044" spans="3:5" x14ac:dyDescent="0.3">
      <c r="C1044" s="33">
        <v>44557</v>
      </c>
      <c r="D1044" s="37">
        <v>7095.81</v>
      </c>
      <c r="E1044" s="37">
        <v>7389</v>
      </c>
    </row>
    <row r="1045" spans="3:5" x14ac:dyDescent="0.3">
      <c r="C1045" s="33">
        <v>44554</v>
      </c>
      <c r="D1045" s="37">
        <v>7123.76</v>
      </c>
      <c r="E1045" s="37">
        <v>10661</v>
      </c>
    </row>
    <row r="1046" spans="3:5" x14ac:dyDescent="0.3">
      <c r="C1046" s="33">
        <v>44553</v>
      </c>
      <c r="D1046" s="37">
        <v>7189.92</v>
      </c>
      <c r="E1046" s="37">
        <v>13784</v>
      </c>
    </row>
    <row r="1047" spans="3:5" x14ac:dyDescent="0.3">
      <c r="C1047" s="33">
        <v>44552</v>
      </c>
      <c r="D1047" s="37">
        <v>7231.29</v>
      </c>
      <c r="E1047" s="37">
        <v>8523</v>
      </c>
    </row>
    <row r="1048" spans="3:5" x14ac:dyDescent="0.3">
      <c r="C1048" s="33">
        <v>44551</v>
      </c>
      <c r="D1048" s="37">
        <v>7112.71</v>
      </c>
      <c r="E1048" s="37">
        <v>12492</v>
      </c>
    </row>
    <row r="1049" spans="3:5" x14ac:dyDescent="0.3">
      <c r="C1049" s="33">
        <v>44550</v>
      </c>
      <c r="D1049" s="37">
        <v>7097.95</v>
      </c>
      <c r="E1049" s="37">
        <v>98179</v>
      </c>
    </row>
    <row r="1050" spans="3:5" x14ac:dyDescent="0.3">
      <c r="C1050" s="33">
        <v>44547</v>
      </c>
      <c r="D1050" s="37">
        <v>7104.19</v>
      </c>
      <c r="E1050" s="37">
        <v>30500</v>
      </c>
    </row>
    <row r="1051" spans="3:5" x14ac:dyDescent="0.3">
      <c r="C1051" s="33">
        <v>44546</v>
      </c>
      <c r="D1051" s="37">
        <v>7256.17</v>
      </c>
      <c r="E1051" s="37">
        <v>11405</v>
      </c>
    </row>
    <row r="1052" spans="3:5" x14ac:dyDescent="0.3">
      <c r="C1052" s="33">
        <v>44545</v>
      </c>
      <c r="D1052" s="37">
        <v>7367.26</v>
      </c>
      <c r="E1052" s="37">
        <v>22363</v>
      </c>
    </row>
    <row r="1053" spans="3:5" x14ac:dyDescent="0.3">
      <c r="C1053" s="33">
        <v>44544</v>
      </c>
      <c r="D1053" s="37">
        <v>7293.56</v>
      </c>
      <c r="E1053" s="37">
        <v>10346</v>
      </c>
    </row>
    <row r="1054" spans="3:5" x14ac:dyDescent="0.3">
      <c r="C1054" s="33">
        <v>44543</v>
      </c>
      <c r="D1054" s="37">
        <v>7317.27</v>
      </c>
      <c r="E1054" s="37">
        <v>19952</v>
      </c>
    </row>
    <row r="1055" spans="3:5" x14ac:dyDescent="0.3">
      <c r="C1055" s="33">
        <v>44540</v>
      </c>
      <c r="D1055" s="37">
        <v>7230.52</v>
      </c>
      <c r="E1055" s="37">
        <v>16307</v>
      </c>
    </row>
    <row r="1056" spans="3:5" x14ac:dyDescent="0.3">
      <c r="C1056" s="33">
        <v>44539</v>
      </c>
      <c r="D1056" s="37">
        <v>7223.65</v>
      </c>
      <c r="E1056" s="37">
        <v>27561</v>
      </c>
    </row>
    <row r="1057" spans="3:5" x14ac:dyDescent="0.3">
      <c r="C1057" s="33">
        <v>44538</v>
      </c>
      <c r="D1057" s="37">
        <v>7241.18</v>
      </c>
      <c r="E1057" s="37">
        <v>61295</v>
      </c>
    </row>
    <row r="1058" spans="3:5" x14ac:dyDescent="0.3">
      <c r="C1058" s="33">
        <v>44537</v>
      </c>
      <c r="D1058" s="37">
        <v>6997.72</v>
      </c>
      <c r="E1058" s="37">
        <v>22952</v>
      </c>
    </row>
    <row r="1059" spans="3:5" x14ac:dyDescent="0.3">
      <c r="C1059" s="33">
        <v>44536</v>
      </c>
      <c r="D1059" s="37">
        <v>6856.54</v>
      </c>
      <c r="E1059" s="37">
        <v>51240</v>
      </c>
    </row>
    <row r="1060" spans="3:5" x14ac:dyDescent="0.3">
      <c r="C1060" s="33">
        <v>44533</v>
      </c>
      <c r="D1060" s="37">
        <v>7012.27</v>
      </c>
      <c r="E1060" s="37">
        <v>29805</v>
      </c>
    </row>
    <row r="1061" spans="3:5" x14ac:dyDescent="0.3">
      <c r="C1061" s="33">
        <v>44532</v>
      </c>
      <c r="D1061" s="37">
        <v>7131.89</v>
      </c>
      <c r="E1061" s="37">
        <v>47689</v>
      </c>
    </row>
    <row r="1062" spans="3:5" x14ac:dyDescent="0.3">
      <c r="C1062" s="33">
        <v>44531</v>
      </c>
      <c r="D1062" s="37">
        <v>7082.96</v>
      </c>
      <c r="E1062" s="37">
        <v>51513</v>
      </c>
    </row>
    <row r="1063" spans="3:5" x14ac:dyDescent="0.3">
      <c r="C1063" s="33">
        <v>44530</v>
      </c>
      <c r="D1063" s="37">
        <v>6899.33</v>
      </c>
      <c r="E1063" s="37">
        <v>21876</v>
      </c>
    </row>
    <row r="1064" spans="3:5" x14ac:dyDescent="0.3">
      <c r="C1064" s="33">
        <v>44529</v>
      </c>
      <c r="D1064" s="37">
        <v>6958.29</v>
      </c>
      <c r="E1064" s="37">
        <v>26575</v>
      </c>
    </row>
    <row r="1065" spans="3:5" x14ac:dyDescent="0.3">
      <c r="C1065" s="33">
        <v>44526</v>
      </c>
      <c r="D1065" s="37">
        <v>6981.85</v>
      </c>
      <c r="E1065" s="37">
        <v>29911</v>
      </c>
    </row>
    <row r="1066" spans="3:5" x14ac:dyDescent="0.3">
      <c r="C1066" s="33">
        <v>44525</v>
      </c>
      <c r="D1066" s="37">
        <v>7370.38</v>
      </c>
      <c r="E1066" s="37">
        <v>37107</v>
      </c>
    </row>
    <row r="1067" spans="3:5" x14ac:dyDescent="0.3">
      <c r="C1067" s="33">
        <v>44524</v>
      </c>
      <c r="D1067" s="37">
        <v>7462.48</v>
      </c>
      <c r="E1067" s="37">
        <v>40045</v>
      </c>
    </row>
    <row r="1068" spans="3:5" x14ac:dyDescent="0.3">
      <c r="C1068" s="33">
        <v>44523</v>
      </c>
      <c r="D1068" s="37">
        <v>7643.34</v>
      </c>
      <c r="E1068" s="37">
        <v>34868</v>
      </c>
    </row>
    <row r="1069" spans="3:5" x14ac:dyDescent="0.3">
      <c r="C1069" s="33">
        <v>44522</v>
      </c>
      <c r="D1069" s="37">
        <v>7657.02</v>
      </c>
      <c r="E1069" s="37">
        <v>23510</v>
      </c>
    </row>
    <row r="1070" spans="3:5" x14ac:dyDescent="0.3">
      <c r="C1070" s="33">
        <v>44518</v>
      </c>
      <c r="D1070" s="37">
        <v>7898.92</v>
      </c>
      <c r="E1070" s="37">
        <v>47175</v>
      </c>
    </row>
    <row r="1071" spans="3:5" x14ac:dyDescent="0.3">
      <c r="C1071" s="33">
        <v>44517</v>
      </c>
      <c r="D1071" s="37">
        <v>8054.89</v>
      </c>
      <c r="E1071" s="37">
        <v>107418</v>
      </c>
    </row>
    <row r="1072" spans="3:5" x14ac:dyDescent="0.3">
      <c r="C1072" s="33">
        <v>44516</v>
      </c>
      <c r="D1072" s="37">
        <v>7837.43</v>
      </c>
      <c r="E1072" s="37">
        <v>109557</v>
      </c>
    </row>
    <row r="1073" spans="3:5" x14ac:dyDescent="0.3">
      <c r="C1073" s="33">
        <v>44515</v>
      </c>
      <c r="D1073" s="37">
        <v>7303.29</v>
      </c>
      <c r="E1073" s="37">
        <v>15878</v>
      </c>
    </row>
    <row r="1074" spans="3:5" x14ac:dyDescent="0.3">
      <c r="C1074" s="33">
        <v>44512</v>
      </c>
      <c r="D1074" s="37">
        <v>7280.41</v>
      </c>
      <c r="E1074" s="37">
        <v>14746</v>
      </c>
    </row>
    <row r="1075" spans="3:5" x14ac:dyDescent="0.3">
      <c r="C1075" s="33">
        <v>44511</v>
      </c>
      <c r="D1075" s="37">
        <v>7256.56</v>
      </c>
      <c r="E1075" s="37">
        <v>21694</v>
      </c>
    </row>
    <row r="1076" spans="3:5" x14ac:dyDescent="0.3">
      <c r="C1076" s="33">
        <v>44510</v>
      </c>
      <c r="D1076" s="37">
        <v>7310.65</v>
      </c>
      <c r="E1076" s="37">
        <v>31043</v>
      </c>
    </row>
    <row r="1077" spans="3:5" x14ac:dyDescent="0.3">
      <c r="C1077" s="33">
        <v>44509</v>
      </c>
      <c r="D1077" s="37">
        <v>7377.29</v>
      </c>
      <c r="E1077" s="37">
        <v>19494</v>
      </c>
    </row>
    <row r="1078" spans="3:5" x14ac:dyDescent="0.3">
      <c r="C1078" s="33">
        <v>44508</v>
      </c>
      <c r="D1078" s="37">
        <v>7483.9</v>
      </c>
      <c r="E1078" s="37">
        <v>10091</v>
      </c>
    </row>
    <row r="1079" spans="3:5" x14ac:dyDescent="0.3">
      <c r="C1079" s="33">
        <v>44504</v>
      </c>
      <c r="D1079" s="37">
        <v>7540.28</v>
      </c>
      <c r="E1079" s="37">
        <v>5696</v>
      </c>
    </row>
    <row r="1080" spans="3:5" x14ac:dyDescent="0.3">
      <c r="C1080" s="33">
        <v>44503</v>
      </c>
      <c r="D1080" s="37">
        <v>7531.76</v>
      </c>
      <c r="E1080" s="37">
        <v>54561</v>
      </c>
    </row>
    <row r="1081" spans="3:5" x14ac:dyDescent="0.3">
      <c r="C1081" s="33">
        <v>44502</v>
      </c>
      <c r="D1081" s="37">
        <v>7586.62</v>
      </c>
      <c r="E1081" s="37">
        <v>44116</v>
      </c>
    </row>
    <row r="1082" spans="3:5" x14ac:dyDescent="0.3">
      <c r="C1082" s="33">
        <v>44501</v>
      </c>
      <c r="D1082" s="37">
        <v>7412</v>
      </c>
      <c r="E1082" s="37">
        <v>80789</v>
      </c>
    </row>
    <row r="1083" spans="3:5" x14ac:dyDescent="0.3">
      <c r="C1083" s="33">
        <v>44498</v>
      </c>
      <c r="D1083" s="37">
        <v>7286.11</v>
      </c>
      <c r="E1083" s="37">
        <v>29456</v>
      </c>
    </row>
    <row r="1084" spans="3:5" x14ac:dyDescent="0.3">
      <c r="C1084" s="33">
        <v>44497</v>
      </c>
      <c r="D1084" s="37">
        <v>7179.01</v>
      </c>
      <c r="E1084" s="37">
        <v>27048</v>
      </c>
    </row>
    <row r="1085" spans="3:5" x14ac:dyDescent="0.3">
      <c r="C1085" s="33">
        <v>44496</v>
      </c>
      <c r="D1085" s="37">
        <v>7158.66</v>
      </c>
      <c r="E1085" s="37">
        <v>34592</v>
      </c>
    </row>
    <row r="1086" spans="3:5" x14ac:dyDescent="0.3">
      <c r="C1086" s="33">
        <v>44495</v>
      </c>
      <c r="D1086" s="37">
        <v>7103.8</v>
      </c>
      <c r="E1086" s="37">
        <v>9761</v>
      </c>
    </row>
    <row r="1087" spans="3:5" x14ac:dyDescent="0.3">
      <c r="C1087" s="33">
        <v>44494</v>
      </c>
      <c r="D1087" s="37">
        <v>7071.76</v>
      </c>
      <c r="E1087" s="37">
        <v>17772</v>
      </c>
    </row>
    <row r="1088" spans="3:5" x14ac:dyDescent="0.3">
      <c r="C1088" s="33">
        <v>44491</v>
      </c>
      <c r="D1088" s="37">
        <v>7215.62</v>
      </c>
      <c r="E1088" s="37">
        <v>9728</v>
      </c>
    </row>
    <row r="1089" spans="3:5" x14ac:dyDescent="0.3">
      <c r="C1089" s="33">
        <v>44490</v>
      </c>
      <c r="D1089" s="37">
        <v>7371.79</v>
      </c>
      <c r="E1089" s="37">
        <v>42476</v>
      </c>
    </row>
    <row r="1090" spans="3:5" x14ac:dyDescent="0.3">
      <c r="C1090" s="33">
        <v>44489</v>
      </c>
      <c r="D1090" s="37">
        <v>7392.33</v>
      </c>
      <c r="E1090" s="37">
        <v>133584</v>
      </c>
    </row>
    <row r="1091" spans="3:5" x14ac:dyDescent="0.3">
      <c r="C1091" s="33">
        <v>44488</v>
      </c>
      <c r="D1091" s="37">
        <v>7451.43</v>
      </c>
      <c r="E1091" s="37">
        <v>13440</v>
      </c>
    </row>
    <row r="1092" spans="3:5" x14ac:dyDescent="0.3">
      <c r="C1092" s="33">
        <v>44487</v>
      </c>
      <c r="D1092" s="37">
        <v>7450.41</v>
      </c>
      <c r="E1092" s="37">
        <v>24633</v>
      </c>
    </row>
    <row r="1093" spans="3:5" x14ac:dyDescent="0.3">
      <c r="C1093" s="33">
        <v>44483</v>
      </c>
      <c r="D1093" s="37">
        <v>7293.12</v>
      </c>
      <c r="E1093" s="37">
        <v>25772</v>
      </c>
    </row>
    <row r="1094" spans="3:5" x14ac:dyDescent="0.3">
      <c r="C1094" s="33">
        <v>44482</v>
      </c>
      <c r="D1094" s="37">
        <v>7287.03</v>
      </c>
      <c r="E1094" s="37">
        <v>19794</v>
      </c>
    </row>
    <row r="1095" spans="3:5" x14ac:dyDescent="0.3">
      <c r="C1095" s="33">
        <v>44481</v>
      </c>
      <c r="D1095" s="37">
        <v>7490.14</v>
      </c>
      <c r="E1095" s="37">
        <v>10321</v>
      </c>
    </row>
    <row r="1096" spans="3:5" x14ac:dyDescent="0.3">
      <c r="C1096" s="33">
        <v>44480</v>
      </c>
      <c r="D1096" s="37">
        <v>7494.96</v>
      </c>
      <c r="E1096" s="37">
        <v>148608</v>
      </c>
    </row>
    <row r="1097" spans="3:5" x14ac:dyDescent="0.3">
      <c r="C1097" s="33">
        <v>44477</v>
      </c>
      <c r="D1097" s="37">
        <v>7229.98</v>
      </c>
      <c r="E1097" s="37">
        <v>11004</v>
      </c>
    </row>
    <row r="1098" spans="3:5" x14ac:dyDescent="0.3">
      <c r="C1098" s="33">
        <v>44476</v>
      </c>
      <c r="D1098" s="37">
        <v>7293.8</v>
      </c>
      <c r="E1098" s="37">
        <v>81882</v>
      </c>
    </row>
    <row r="1099" spans="3:5" x14ac:dyDescent="0.3">
      <c r="C1099" s="33">
        <v>44475</v>
      </c>
      <c r="D1099" s="37">
        <v>7010.86</v>
      </c>
      <c r="E1099" s="37">
        <v>6648</v>
      </c>
    </row>
    <row r="1100" spans="3:5" x14ac:dyDescent="0.3">
      <c r="C1100" s="33">
        <v>44474</v>
      </c>
      <c r="D1100" s="37">
        <v>7057.5</v>
      </c>
      <c r="E1100" s="37">
        <v>23832</v>
      </c>
    </row>
    <row r="1101" spans="3:5" x14ac:dyDescent="0.3">
      <c r="C1101" s="33">
        <v>44473</v>
      </c>
      <c r="D1101" s="37">
        <v>6989.15</v>
      </c>
      <c r="E1101" s="37">
        <v>32064</v>
      </c>
    </row>
    <row r="1102" spans="3:5" x14ac:dyDescent="0.3">
      <c r="C1102" s="33">
        <v>44470</v>
      </c>
      <c r="D1102" s="37">
        <v>6970.65</v>
      </c>
      <c r="E1102" s="37">
        <v>22556</v>
      </c>
    </row>
    <row r="1103" spans="3:5" x14ac:dyDescent="0.3">
      <c r="C1103" s="33">
        <v>44469</v>
      </c>
      <c r="D1103" s="37">
        <v>7141.43</v>
      </c>
      <c r="E1103" s="37">
        <v>8978</v>
      </c>
    </row>
    <row r="1104" spans="3:5" x14ac:dyDescent="0.3">
      <c r="C1104" s="33">
        <v>44468</v>
      </c>
      <c r="D1104" s="37">
        <v>7186.8</v>
      </c>
      <c r="E1104" s="37">
        <v>18142</v>
      </c>
    </row>
    <row r="1105" spans="3:5" x14ac:dyDescent="0.3">
      <c r="C1105" s="33">
        <v>44467</v>
      </c>
      <c r="D1105" s="37">
        <v>7223.7</v>
      </c>
      <c r="E1105" s="37">
        <v>93526</v>
      </c>
    </row>
    <row r="1106" spans="3:5" x14ac:dyDescent="0.3">
      <c r="C1106" s="33">
        <v>44466</v>
      </c>
      <c r="D1106" s="37">
        <v>7209</v>
      </c>
      <c r="E1106" s="37">
        <v>118728</v>
      </c>
    </row>
    <row r="1107" spans="3:5" x14ac:dyDescent="0.3">
      <c r="C1107" s="33">
        <v>44463</v>
      </c>
      <c r="D1107" s="37">
        <v>6767.36</v>
      </c>
      <c r="E1107" s="37">
        <v>22596</v>
      </c>
    </row>
    <row r="1108" spans="3:5" x14ac:dyDescent="0.3">
      <c r="C1108" s="33">
        <v>44462</v>
      </c>
      <c r="D1108" s="37">
        <v>6663.76</v>
      </c>
      <c r="E1108" s="37">
        <v>143024</v>
      </c>
    </row>
    <row r="1109" spans="3:5" x14ac:dyDescent="0.3">
      <c r="C1109" s="33">
        <v>44461</v>
      </c>
      <c r="D1109" s="37">
        <v>6648.52</v>
      </c>
      <c r="E1109" s="37">
        <v>26826</v>
      </c>
    </row>
    <row r="1110" spans="3:5" x14ac:dyDescent="0.3">
      <c r="C1110" s="33">
        <v>44460</v>
      </c>
      <c r="D1110" s="37">
        <v>6599.16</v>
      </c>
      <c r="E1110" s="37">
        <v>74779</v>
      </c>
    </row>
    <row r="1111" spans="3:5" x14ac:dyDescent="0.3">
      <c r="C1111" s="33">
        <v>44459</v>
      </c>
      <c r="D1111" s="37">
        <v>6770.91</v>
      </c>
      <c r="E1111" s="37">
        <v>32004</v>
      </c>
    </row>
    <row r="1112" spans="3:5" x14ac:dyDescent="0.3">
      <c r="C1112" s="33">
        <v>44456</v>
      </c>
      <c r="D1112" s="37">
        <v>6827.62</v>
      </c>
      <c r="E1112" s="37">
        <v>50963</v>
      </c>
    </row>
    <row r="1113" spans="3:5" x14ac:dyDescent="0.3">
      <c r="C1113" s="33">
        <v>44455</v>
      </c>
      <c r="D1113" s="37">
        <v>6751.39</v>
      </c>
      <c r="E1113" s="37">
        <v>13729</v>
      </c>
    </row>
    <row r="1114" spans="3:5" x14ac:dyDescent="0.3">
      <c r="C1114" s="33">
        <v>44454</v>
      </c>
      <c r="D1114" s="37">
        <v>6725.83</v>
      </c>
      <c r="E1114" s="37">
        <v>16003</v>
      </c>
    </row>
    <row r="1115" spans="3:5" x14ac:dyDescent="0.3">
      <c r="C1115" s="33">
        <v>44453</v>
      </c>
      <c r="D1115" s="37">
        <v>6717.07</v>
      </c>
      <c r="E1115" s="37">
        <v>32129</v>
      </c>
    </row>
    <row r="1116" spans="3:5" x14ac:dyDescent="0.3">
      <c r="C1116" s="33">
        <v>44452</v>
      </c>
      <c r="D1116" s="37">
        <v>6691.75</v>
      </c>
      <c r="E1116" s="37">
        <v>14940</v>
      </c>
    </row>
    <row r="1117" spans="3:5" x14ac:dyDescent="0.3">
      <c r="C1117" s="33">
        <v>44448</v>
      </c>
      <c r="D1117" s="37">
        <v>6622.53</v>
      </c>
      <c r="E1117" s="37">
        <v>29358</v>
      </c>
    </row>
    <row r="1118" spans="3:5" x14ac:dyDescent="0.3">
      <c r="C1118" s="33">
        <v>44447</v>
      </c>
      <c r="D1118" s="37">
        <v>6605.93</v>
      </c>
      <c r="E1118" s="37">
        <v>27555</v>
      </c>
    </row>
    <row r="1119" spans="3:5" x14ac:dyDescent="0.3">
      <c r="C1119" s="33">
        <v>44446</v>
      </c>
      <c r="D1119" s="37">
        <v>6695.21</v>
      </c>
      <c r="E1119" s="37">
        <v>30339</v>
      </c>
    </row>
    <row r="1120" spans="3:5" x14ac:dyDescent="0.3">
      <c r="C1120" s="33">
        <v>44445</v>
      </c>
      <c r="D1120" s="37">
        <v>6667.12</v>
      </c>
      <c r="E1120" s="37">
        <v>31675</v>
      </c>
    </row>
    <row r="1121" spans="3:5" x14ac:dyDescent="0.3">
      <c r="C1121" s="33">
        <v>44442</v>
      </c>
      <c r="D1121" s="37">
        <v>6682.36</v>
      </c>
      <c r="E1121" s="37">
        <v>85098</v>
      </c>
    </row>
    <row r="1122" spans="3:5" x14ac:dyDescent="0.3">
      <c r="C1122" s="33">
        <v>44441</v>
      </c>
      <c r="D1122" s="37">
        <v>6611.96</v>
      </c>
      <c r="E1122" s="37">
        <v>22102</v>
      </c>
    </row>
    <row r="1123" spans="3:5" x14ac:dyDescent="0.3">
      <c r="C1123" s="33">
        <v>44440</v>
      </c>
      <c r="D1123" s="37">
        <v>6606.46</v>
      </c>
      <c r="E1123" s="37">
        <v>183598</v>
      </c>
    </row>
    <row r="1124" spans="3:5" x14ac:dyDescent="0.3">
      <c r="C1124" s="33">
        <v>44439</v>
      </c>
      <c r="D1124" s="37">
        <v>6663.81</v>
      </c>
      <c r="E1124" s="37">
        <v>27646</v>
      </c>
    </row>
    <row r="1125" spans="3:5" x14ac:dyDescent="0.3">
      <c r="C1125" s="33">
        <v>44438</v>
      </c>
      <c r="D1125" s="37">
        <v>6617.9</v>
      </c>
      <c r="E1125" s="37">
        <v>166119</v>
      </c>
    </row>
    <row r="1126" spans="3:5" x14ac:dyDescent="0.3">
      <c r="C1126" s="33">
        <v>44435</v>
      </c>
      <c r="D1126" s="37">
        <v>6431.65</v>
      </c>
      <c r="E1126" s="37">
        <v>231296</v>
      </c>
    </row>
    <row r="1127" spans="3:5" x14ac:dyDescent="0.3">
      <c r="C1127" s="33">
        <v>44434</v>
      </c>
      <c r="D1127" s="37">
        <v>6434.81</v>
      </c>
      <c r="E1127" s="37">
        <v>86414</v>
      </c>
    </row>
    <row r="1128" spans="3:5" x14ac:dyDescent="0.3">
      <c r="C1128" s="33">
        <v>44433</v>
      </c>
      <c r="D1128" s="37">
        <v>6538.75</v>
      </c>
      <c r="E1128" s="37">
        <v>46614</v>
      </c>
    </row>
    <row r="1129" spans="3:5" x14ac:dyDescent="0.3">
      <c r="C1129" s="33">
        <v>44432</v>
      </c>
      <c r="D1129" s="37">
        <v>6628.91</v>
      </c>
      <c r="E1129" s="37">
        <v>32580</v>
      </c>
    </row>
    <row r="1130" spans="3:5" x14ac:dyDescent="0.3">
      <c r="C1130" s="33">
        <v>44431</v>
      </c>
      <c r="D1130" s="37">
        <v>6646.77</v>
      </c>
      <c r="E1130" s="37">
        <v>9482</v>
      </c>
    </row>
    <row r="1131" spans="3:5" x14ac:dyDescent="0.3">
      <c r="C1131" s="33">
        <v>44428</v>
      </c>
      <c r="D1131" s="37">
        <v>6667.02</v>
      </c>
      <c r="E1131" s="37">
        <v>18023</v>
      </c>
    </row>
    <row r="1132" spans="3:5" x14ac:dyDescent="0.3">
      <c r="C1132" s="33">
        <v>44426</v>
      </c>
      <c r="D1132" s="37">
        <v>6660.99</v>
      </c>
      <c r="E1132" s="37">
        <v>423662</v>
      </c>
    </row>
    <row r="1133" spans="3:5" x14ac:dyDescent="0.3">
      <c r="C1133" s="33">
        <v>44425</v>
      </c>
      <c r="D1133" s="37">
        <v>6706.6</v>
      </c>
      <c r="E1133" s="37">
        <v>29243</v>
      </c>
    </row>
    <row r="1134" spans="3:5" x14ac:dyDescent="0.3">
      <c r="C1134" s="33">
        <v>44424</v>
      </c>
      <c r="D1134" s="37">
        <v>6648.77</v>
      </c>
      <c r="E1134" s="37">
        <v>21074</v>
      </c>
    </row>
    <row r="1135" spans="3:5" x14ac:dyDescent="0.3">
      <c r="C1135" s="33">
        <v>44421</v>
      </c>
      <c r="D1135" s="37">
        <v>6814.58</v>
      </c>
      <c r="E1135" s="37">
        <v>10409</v>
      </c>
    </row>
    <row r="1136" spans="3:5" x14ac:dyDescent="0.3">
      <c r="C1136" s="33">
        <v>44420</v>
      </c>
      <c r="D1136" s="37">
        <v>6825.19</v>
      </c>
      <c r="E1136" s="37">
        <v>71017</v>
      </c>
    </row>
    <row r="1137" spans="3:5" x14ac:dyDescent="0.3">
      <c r="C1137" s="33">
        <v>44419</v>
      </c>
      <c r="D1137" s="37">
        <v>6838.68</v>
      </c>
      <c r="E1137" s="37">
        <v>9673</v>
      </c>
    </row>
    <row r="1138" spans="3:5" x14ac:dyDescent="0.3">
      <c r="C1138" s="33">
        <v>44418</v>
      </c>
      <c r="D1138" s="37">
        <v>6816.82</v>
      </c>
      <c r="E1138" s="37">
        <v>7784</v>
      </c>
    </row>
    <row r="1139" spans="3:5" x14ac:dyDescent="0.3">
      <c r="C1139" s="33">
        <v>44417</v>
      </c>
      <c r="D1139" s="37">
        <v>6894.9</v>
      </c>
      <c r="E1139" s="37">
        <v>12248</v>
      </c>
    </row>
    <row r="1140" spans="3:5" x14ac:dyDescent="0.3">
      <c r="C1140" s="33">
        <v>44414</v>
      </c>
      <c r="D1140" s="37">
        <v>6914.96</v>
      </c>
      <c r="E1140" s="37">
        <v>14773</v>
      </c>
    </row>
    <row r="1141" spans="3:5" x14ac:dyDescent="0.3">
      <c r="C1141" s="33">
        <v>44413</v>
      </c>
      <c r="D1141" s="37">
        <v>6841.26</v>
      </c>
      <c r="E1141" s="37">
        <v>33974</v>
      </c>
    </row>
    <row r="1142" spans="3:5" x14ac:dyDescent="0.3">
      <c r="C1142" s="33">
        <v>44412</v>
      </c>
      <c r="D1142" s="37">
        <v>6870.9</v>
      </c>
      <c r="E1142" s="37">
        <v>14937</v>
      </c>
    </row>
    <row r="1143" spans="3:5" x14ac:dyDescent="0.3">
      <c r="C1143" s="33">
        <v>44411</v>
      </c>
      <c r="D1143" s="37">
        <v>6962.18</v>
      </c>
      <c r="E1143" s="37">
        <v>14903</v>
      </c>
    </row>
    <row r="1144" spans="3:5" x14ac:dyDescent="0.3">
      <c r="C1144" s="33">
        <v>44410</v>
      </c>
      <c r="D1144" s="37">
        <v>6845.12</v>
      </c>
      <c r="E1144" s="37">
        <v>17185</v>
      </c>
    </row>
    <row r="1145" spans="3:5" x14ac:dyDescent="0.3">
      <c r="C1145" s="33">
        <v>44407</v>
      </c>
      <c r="D1145" s="37">
        <v>6751.66</v>
      </c>
      <c r="E1145" s="37">
        <v>14879</v>
      </c>
    </row>
    <row r="1146" spans="3:5" x14ac:dyDescent="0.3">
      <c r="C1146" s="33">
        <v>44406</v>
      </c>
      <c r="D1146" s="37">
        <v>6764.43</v>
      </c>
      <c r="E1146" s="37">
        <v>39318</v>
      </c>
    </row>
    <row r="1147" spans="3:5" x14ac:dyDescent="0.3">
      <c r="C1147" s="33">
        <v>44405</v>
      </c>
      <c r="D1147" s="37">
        <v>6917.58</v>
      </c>
      <c r="E1147" s="37">
        <v>30224</v>
      </c>
    </row>
    <row r="1148" spans="3:5" x14ac:dyDescent="0.3">
      <c r="C1148" s="33">
        <v>44404</v>
      </c>
      <c r="D1148" s="37">
        <v>7005.86</v>
      </c>
      <c r="E1148" s="37">
        <v>6892</v>
      </c>
    </row>
    <row r="1149" spans="3:5" x14ac:dyDescent="0.3">
      <c r="C1149" s="33">
        <v>44403</v>
      </c>
      <c r="D1149" s="37">
        <v>7000.2</v>
      </c>
      <c r="E1149" s="37">
        <v>7661</v>
      </c>
    </row>
    <row r="1150" spans="3:5" x14ac:dyDescent="0.3">
      <c r="C1150" s="33">
        <v>44400</v>
      </c>
      <c r="D1150" s="37">
        <v>7053.03</v>
      </c>
      <c r="E1150" s="37">
        <v>7724</v>
      </c>
    </row>
    <row r="1151" spans="3:5" x14ac:dyDescent="0.3">
      <c r="C1151" s="33">
        <v>44399</v>
      </c>
      <c r="D1151" s="37">
        <v>7058.45</v>
      </c>
      <c r="E1151" s="37">
        <v>14306</v>
      </c>
    </row>
    <row r="1152" spans="3:5" x14ac:dyDescent="0.3">
      <c r="C1152" s="33">
        <v>44397</v>
      </c>
      <c r="D1152" s="37">
        <v>6997.93</v>
      </c>
      <c r="E1152" s="37">
        <v>25041</v>
      </c>
    </row>
    <row r="1153" spans="3:5" x14ac:dyDescent="0.3">
      <c r="C1153" s="33">
        <v>44396</v>
      </c>
      <c r="D1153" s="37">
        <v>6932.82</v>
      </c>
      <c r="E1153" s="37">
        <v>74204</v>
      </c>
    </row>
    <row r="1154" spans="3:5" x14ac:dyDescent="0.3">
      <c r="C1154" s="33">
        <v>44393</v>
      </c>
      <c r="D1154" s="37">
        <v>7066.04</v>
      </c>
      <c r="E1154" s="37">
        <v>21449</v>
      </c>
    </row>
    <row r="1155" spans="3:5" x14ac:dyDescent="0.3">
      <c r="C1155" s="33">
        <v>44392</v>
      </c>
      <c r="D1155" s="37">
        <v>7069.33</v>
      </c>
      <c r="E1155" s="37">
        <v>16077</v>
      </c>
    </row>
    <row r="1156" spans="3:5" x14ac:dyDescent="0.3">
      <c r="C1156" s="33">
        <v>44391</v>
      </c>
      <c r="D1156" s="37">
        <v>7089.84</v>
      </c>
      <c r="E1156" s="37">
        <v>12753</v>
      </c>
    </row>
    <row r="1157" spans="3:5" x14ac:dyDescent="0.3">
      <c r="C1157" s="33">
        <v>44390</v>
      </c>
      <c r="D1157" s="37">
        <v>7185.04</v>
      </c>
      <c r="E1157" s="37">
        <v>15598</v>
      </c>
    </row>
    <row r="1158" spans="3:5" x14ac:dyDescent="0.3">
      <c r="C1158" s="33">
        <v>44389</v>
      </c>
      <c r="D1158" s="37">
        <v>7228.09</v>
      </c>
      <c r="E1158" s="37">
        <v>341412</v>
      </c>
    </row>
    <row r="1159" spans="3:5" x14ac:dyDescent="0.3">
      <c r="C1159" s="33">
        <v>44386</v>
      </c>
      <c r="D1159" s="37">
        <v>7183.59</v>
      </c>
      <c r="E1159" s="37">
        <v>11787</v>
      </c>
    </row>
    <row r="1160" spans="3:5" x14ac:dyDescent="0.3">
      <c r="C1160" s="33">
        <v>44385</v>
      </c>
      <c r="D1160" s="37">
        <v>7160.13</v>
      </c>
      <c r="E1160" s="37">
        <v>14094</v>
      </c>
    </row>
    <row r="1161" spans="3:5" x14ac:dyDescent="0.3">
      <c r="C1161" s="33">
        <v>44384</v>
      </c>
      <c r="D1161" s="37">
        <v>7208.94</v>
      </c>
      <c r="E1161" s="37">
        <v>10261</v>
      </c>
    </row>
    <row r="1162" spans="3:5" x14ac:dyDescent="0.3">
      <c r="C1162" s="33">
        <v>44383</v>
      </c>
      <c r="D1162" s="37">
        <v>7267.47</v>
      </c>
      <c r="E1162" s="37">
        <v>135161</v>
      </c>
    </row>
    <row r="1163" spans="3:5" x14ac:dyDescent="0.3">
      <c r="C1163" s="33">
        <v>44382</v>
      </c>
      <c r="D1163" s="37">
        <v>7350.43</v>
      </c>
      <c r="E1163" s="37">
        <v>111472</v>
      </c>
    </row>
    <row r="1164" spans="3:5" x14ac:dyDescent="0.3">
      <c r="C1164" s="33">
        <v>44379</v>
      </c>
      <c r="D1164" s="37">
        <v>7323.53</v>
      </c>
      <c r="E1164" s="37">
        <v>27368</v>
      </c>
    </row>
    <row r="1165" spans="3:5" x14ac:dyDescent="0.3">
      <c r="C1165" s="33">
        <v>44378</v>
      </c>
      <c r="D1165" s="37">
        <v>7339.11</v>
      </c>
      <c r="E1165" s="37">
        <v>12818</v>
      </c>
    </row>
    <row r="1166" spans="3:5" x14ac:dyDescent="0.3">
      <c r="C1166" s="33">
        <v>44377</v>
      </c>
      <c r="D1166" s="37">
        <v>7269.35</v>
      </c>
      <c r="E1166" s="37">
        <v>18655</v>
      </c>
    </row>
    <row r="1167" spans="3:5" x14ac:dyDescent="0.3">
      <c r="C1167" s="33">
        <v>44376</v>
      </c>
      <c r="D1167" s="37">
        <v>7241.15</v>
      </c>
      <c r="E1167" s="37">
        <v>16584</v>
      </c>
    </row>
    <row r="1168" spans="3:5" x14ac:dyDescent="0.3">
      <c r="C1168" s="33">
        <v>44375</v>
      </c>
      <c r="D1168" s="37">
        <v>7346.8</v>
      </c>
      <c r="E1168" s="37">
        <v>16233</v>
      </c>
    </row>
    <row r="1169" spans="3:5" x14ac:dyDescent="0.3">
      <c r="C1169" s="33">
        <v>44372</v>
      </c>
      <c r="D1169" s="37">
        <v>7395.03</v>
      </c>
      <c r="E1169" s="37">
        <v>52148</v>
      </c>
    </row>
    <row r="1170" spans="3:5" x14ac:dyDescent="0.3">
      <c r="C1170" s="33">
        <v>44371</v>
      </c>
      <c r="D1170" s="37">
        <v>7284.64</v>
      </c>
      <c r="E1170" s="37">
        <v>53959</v>
      </c>
    </row>
    <row r="1171" spans="3:5" x14ac:dyDescent="0.3">
      <c r="C1171" s="33">
        <v>44370</v>
      </c>
      <c r="D1171" s="37">
        <v>7191.13</v>
      </c>
      <c r="E1171" s="37">
        <v>134377</v>
      </c>
    </row>
    <row r="1172" spans="3:5" x14ac:dyDescent="0.3">
      <c r="C1172" s="33">
        <v>44369</v>
      </c>
      <c r="D1172" s="37">
        <v>7027.44</v>
      </c>
      <c r="E1172" s="37">
        <v>103247</v>
      </c>
    </row>
    <row r="1173" spans="3:5" x14ac:dyDescent="0.3">
      <c r="C1173" s="33">
        <v>44368</v>
      </c>
      <c r="D1173" s="37">
        <v>6676.97</v>
      </c>
      <c r="E1173" s="37">
        <v>10176</v>
      </c>
    </row>
    <row r="1174" spans="3:5" x14ac:dyDescent="0.3">
      <c r="C1174" s="33">
        <v>44365</v>
      </c>
      <c r="D1174" s="37">
        <v>6732.31</v>
      </c>
      <c r="E1174" s="37">
        <v>35157</v>
      </c>
    </row>
    <row r="1175" spans="3:5" x14ac:dyDescent="0.3">
      <c r="C1175" s="33">
        <v>44364</v>
      </c>
      <c r="D1175" s="37">
        <v>6742.04</v>
      </c>
      <c r="E1175" s="37">
        <v>12323</v>
      </c>
    </row>
    <row r="1176" spans="3:5" x14ac:dyDescent="0.3">
      <c r="C1176" s="33">
        <v>44363</v>
      </c>
      <c r="D1176" s="37">
        <v>6881.25</v>
      </c>
      <c r="E1176" s="37">
        <v>11520</v>
      </c>
    </row>
    <row r="1177" spans="3:5" x14ac:dyDescent="0.3">
      <c r="C1177" s="33">
        <v>44362</v>
      </c>
      <c r="D1177" s="37">
        <v>6935.24</v>
      </c>
      <c r="E1177" s="37">
        <v>19237</v>
      </c>
    </row>
    <row r="1178" spans="3:5" x14ac:dyDescent="0.3">
      <c r="C1178" s="33">
        <v>44361</v>
      </c>
      <c r="D1178" s="37">
        <v>6943.32</v>
      </c>
      <c r="E1178" s="37">
        <v>7780</v>
      </c>
    </row>
    <row r="1179" spans="3:5" x14ac:dyDescent="0.3">
      <c r="C1179" s="33">
        <v>44358</v>
      </c>
      <c r="D1179" s="37">
        <v>6985.79</v>
      </c>
      <c r="E1179" s="37">
        <v>5755</v>
      </c>
    </row>
    <row r="1180" spans="3:5" x14ac:dyDescent="0.3">
      <c r="C1180" s="33">
        <v>44357</v>
      </c>
      <c r="D1180" s="37">
        <v>6964.94</v>
      </c>
      <c r="E1180" s="37">
        <v>15280</v>
      </c>
    </row>
    <row r="1181" spans="3:5" x14ac:dyDescent="0.3">
      <c r="C1181" s="33">
        <v>44356</v>
      </c>
      <c r="D1181" s="37">
        <v>7004.46</v>
      </c>
      <c r="E1181" s="37">
        <v>14051</v>
      </c>
    </row>
    <row r="1182" spans="3:5" x14ac:dyDescent="0.3">
      <c r="C1182" s="33">
        <v>44355</v>
      </c>
      <c r="D1182" s="37">
        <v>7097.05</v>
      </c>
      <c r="E1182" s="37">
        <v>33002</v>
      </c>
    </row>
    <row r="1183" spans="3:5" x14ac:dyDescent="0.3">
      <c r="C1183" s="33">
        <v>44354</v>
      </c>
      <c r="D1183" s="37">
        <v>7042.48</v>
      </c>
      <c r="E1183" s="37">
        <v>15631</v>
      </c>
    </row>
    <row r="1184" spans="3:5" x14ac:dyDescent="0.3">
      <c r="C1184" s="33">
        <v>44351</v>
      </c>
      <c r="D1184" s="37">
        <v>6979.26</v>
      </c>
      <c r="E1184" s="37">
        <v>11717</v>
      </c>
    </row>
    <row r="1185" spans="3:5" x14ac:dyDescent="0.3">
      <c r="C1185" s="33">
        <v>44350</v>
      </c>
      <c r="D1185" s="37">
        <v>6972.97</v>
      </c>
      <c r="E1185" s="37">
        <v>13233</v>
      </c>
    </row>
    <row r="1186" spans="3:5" x14ac:dyDescent="0.3">
      <c r="C1186" s="33">
        <v>44349</v>
      </c>
      <c r="D1186" s="37">
        <v>6949.41</v>
      </c>
      <c r="E1186" s="37">
        <v>14983</v>
      </c>
    </row>
    <row r="1187" spans="3:5" x14ac:dyDescent="0.3">
      <c r="C1187" s="33">
        <v>44348</v>
      </c>
      <c r="D1187" s="37">
        <v>6860.36</v>
      </c>
      <c r="E1187" s="37">
        <v>36183</v>
      </c>
    </row>
    <row r="1188" spans="3:5" x14ac:dyDescent="0.3">
      <c r="C1188" s="33">
        <v>44347</v>
      </c>
      <c r="D1188" s="37">
        <v>6856.78</v>
      </c>
      <c r="E1188" s="37">
        <v>35730</v>
      </c>
    </row>
    <row r="1189" spans="3:5" x14ac:dyDescent="0.3">
      <c r="C1189" s="33">
        <v>44344</v>
      </c>
      <c r="D1189" s="37">
        <v>6729.65</v>
      </c>
      <c r="E1189" s="37">
        <v>13814</v>
      </c>
    </row>
    <row r="1190" spans="3:5" x14ac:dyDescent="0.3">
      <c r="C1190" s="33">
        <v>44343</v>
      </c>
      <c r="D1190" s="37">
        <v>6737.59</v>
      </c>
      <c r="E1190" s="37">
        <v>23574</v>
      </c>
    </row>
    <row r="1191" spans="3:5" x14ac:dyDescent="0.3">
      <c r="C1191" s="33">
        <v>44342</v>
      </c>
      <c r="D1191" s="37">
        <v>6799.79</v>
      </c>
      <c r="E1191" s="37">
        <v>22663</v>
      </c>
    </row>
    <row r="1192" spans="3:5" x14ac:dyDescent="0.3">
      <c r="C1192" s="33">
        <v>44341</v>
      </c>
      <c r="D1192" s="37">
        <v>6684.96</v>
      </c>
      <c r="E1192" s="37">
        <v>22689</v>
      </c>
    </row>
    <row r="1193" spans="3:5" x14ac:dyDescent="0.3">
      <c r="C1193" s="33">
        <v>44340</v>
      </c>
      <c r="D1193" s="37">
        <v>6661.88</v>
      </c>
      <c r="E1193" s="37">
        <v>65936</v>
      </c>
    </row>
    <row r="1194" spans="3:5" x14ac:dyDescent="0.3">
      <c r="C1194" s="33">
        <v>44337</v>
      </c>
      <c r="D1194" s="37">
        <v>6590.05</v>
      </c>
      <c r="E1194" s="37">
        <v>12536</v>
      </c>
    </row>
    <row r="1195" spans="3:5" x14ac:dyDescent="0.3">
      <c r="C1195" s="33">
        <v>44336</v>
      </c>
      <c r="D1195" s="37">
        <v>6518.36</v>
      </c>
      <c r="E1195" s="37">
        <v>12436</v>
      </c>
    </row>
    <row r="1196" spans="3:5" x14ac:dyDescent="0.3">
      <c r="C1196" s="33">
        <v>44335</v>
      </c>
      <c r="D1196" s="37">
        <v>6555.17</v>
      </c>
      <c r="E1196" s="37">
        <v>14212</v>
      </c>
    </row>
    <row r="1197" spans="3:5" x14ac:dyDescent="0.3">
      <c r="C1197" s="33">
        <v>44334</v>
      </c>
      <c r="D1197" s="37">
        <v>6589.18</v>
      </c>
      <c r="E1197" s="37">
        <v>31384</v>
      </c>
    </row>
    <row r="1198" spans="3:5" x14ac:dyDescent="0.3">
      <c r="C1198" s="33">
        <v>44333</v>
      </c>
      <c r="D1198" s="37">
        <v>6504.76</v>
      </c>
      <c r="E1198" s="37">
        <v>52406</v>
      </c>
    </row>
    <row r="1199" spans="3:5" x14ac:dyDescent="0.3">
      <c r="C1199" s="33">
        <v>44330</v>
      </c>
      <c r="D1199" s="37">
        <v>6518.94</v>
      </c>
      <c r="E1199" s="37">
        <v>38059</v>
      </c>
    </row>
    <row r="1200" spans="3:5" x14ac:dyDescent="0.3">
      <c r="C1200" s="33">
        <v>44328</v>
      </c>
      <c r="D1200" s="37">
        <v>6598.51</v>
      </c>
      <c r="E1200" s="37">
        <v>32540</v>
      </c>
    </row>
    <row r="1201" spans="3:5" x14ac:dyDescent="0.3">
      <c r="C1201" s="33">
        <v>44327</v>
      </c>
      <c r="D1201" s="37">
        <v>6519.71</v>
      </c>
      <c r="E1201" s="37">
        <v>10870</v>
      </c>
    </row>
    <row r="1202" spans="3:5" x14ac:dyDescent="0.3">
      <c r="C1202" s="33">
        <v>44326</v>
      </c>
      <c r="D1202" s="37">
        <v>6537.51</v>
      </c>
      <c r="E1202" s="37">
        <v>16801</v>
      </c>
    </row>
    <row r="1203" spans="3:5" x14ac:dyDescent="0.3">
      <c r="C1203" s="33">
        <v>44323</v>
      </c>
      <c r="D1203" s="37">
        <v>6484.83</v>
      </c>
      <c r="E1203" s="37">
        <v>16466</v>
      </c>
    </row>
    <row r="1204" spans="3:5" x14ac:dyDescent="0.3">
      <c r="C1204" s="33">
        <v>44322</v>
      </c>
      <c r="D1204" s="37">
        <v>6449.04</v>
      </c>
      <c r="E1204" s="37">
        <v>30427</v>
      </c>
    </row>
    <row r="1205" spans="3:5" x14ac:dyDescent="0.3">
      <c r="C1205" s="33">
        <v>44321</v>
      </c>
      <c r="D1205" s="37">
        <v>6377.45</v>
      </c>
      <c r="E1205" s="37">
        <v>16284</v>
      </c>
    </row>
    <row r="1206" spans="3:5" x14ac:dyDescent="0.3">
      <c r="C1206" s="33">
        <v>44320</v>
      </c>
      <c r="D1206" s="37">
        <v>6296.37</v>
      </c>
      <c r="E1206" s="37">
        <v>32249</v>
      </c>
    </row>
    <row r="1207" spans="3:5" x14ac:dyDescent="0.3">
      <c r="C1207" s="33">
        <v>44319</v>
      </c>
      <c r="D1207" s="37">
        <v>6383.64</v>
      </c>
      <c r="E1207" s="37">
        <v>51244</v>
      </c>
    </row>
    <row r="1208" spans="3:5" x14ac:dyDescent="0.3">
      <c r="C1208" s="33">
        <v>44316</v>
      </c>
      <c r="D1208" s="37">
        <v>6249.64</v>
      </c>
      <c r="E1208" s="37">
        <v>62580</v>
      </c>
    </row>
    <row r="1209" spans="3:5" x14ac:dyDescent="0.3">
      <c r="C1209" s="33">
        <v>44315</v>
      </c>
      <c r="D1209" s="37">
        <v>6354.23</v>
      </c>
      <c r="E1209" s="37">
        <v>41221</v>
      </c>
    </row>
    <row r="1210" spans="3:5" x14ac:dyDescent="0.3">
      <c r="C1210" s="33">
        <v>44314</v>
      </c>
      <c r="D1210" s="37">
        <v>6357.32</v>
      </c>
      <c r="E1210" s="37">
        <v>41644</v>
      </c>
    </row>
    <row r="1211" spans="3:5" x14ac:dyDescent="0.3">
      <c r="C1211" s="33">
        <v>44313</v>
      </c>
      <c r="D1211" s="37">
        <v>6344.84</v>
      </c>
      <c r="E1211" s="37">
        <v>83804</v>
      </c>
    </row>
    <row r="1212" spans="3:5" x14ac:dyDescent="0.3">
      <c r="C1212" s="33">
        <v>44312</v>
      </c>
      <c r="D1212" s="37">
        <v>6424.56</v>
      </c>
      <c r="E1212" s="37">
        <v>49657</v>
      </c>
    </row>
    <row r="1213" spans="3:5" x14ac:dyDescent="0.3">
      <c r="C1213" s="33">
        <v>44309</v>
      </c>
      <c r="D1213" s="37">
        <v>6457.75</v>
      </c>
      <c r="E1213" s="37">
        <v>36527</v>
      </c>
    </row>
    <row r="1214" spans="3:5" x14ac:dyDescent="0.3">
      <c r="C1214" s="33">
        <v>44308</v>
      </c>
      <c r="D1214" s="37">
        <v>6434.04</v>
      </c>
      <c r="E1214" s="37">
        <v>52229</v>
      </c>
    </row>
    <row r="1215" spans="3:5" x14ac:dyDescent="0.3">
      <c r="C1215" s="33">
        <v>44306</v>
      </c>
      <c r="D1215" s="37">
        <v>6428.63</v>
      </c>
      <c r="E1215" s="37">
        <v>70239</v>
      </c>
    </row>
    <row r="1216" spans="3:5" x14ac:dyDescent="0.3">
      <c r="C1216" s="33">
        <v>44305</v>
      </c>
      <c r="D1216" s="37">
        <v>6305.37</v>
      </c>
      <c r="E1216" s="37">
        <v>55174</v>
      </c>
    </row>
    <row r="1217" spans="3:5" x14ac:dyDescent="0.3">
      <c r="C1217" s="33">
        <v>44302</v>
      </c>
      <c r="D1217" s="37">
        <v>6433.32</v>
      </c>
      <c r="E1217" s="37">
        <v>73266</v>
      </c>
    </row>
    <row r="1218" spans="3:5" x14ac:dyDescent="0.3">
      <c r="C1218" s="33">
        <v>44301</v>
      </c>
      <c r="D1218" s="37">
        <v>6435.59</v>
      </c>
      <c r="E1218" s="37">
        <v>74737</v>
      </c>
    </row>
    <row r="1219" spans="3:5" x14ac:dyDescent="0.3">
      <c r="C1219" s="33">
        <v>44299</v>
      </c>
      <c r="D1219" s="37">
        <v>6596.63</v>
      </c>
      <c r="E1219" s="37">
        <v>37650</v>
      </c>
    </row>
    <row r="1220" spans="3:5" x14ac:dyDescent="0.3">
      <c r="C1220" s="33">
        <v>44298</v>
      </c>
      <c r="D1220" s="37">
        <v>6306.58</v>
      </c>
      <c r="E1220" s="37">
        <v>95168</v>
      </c>
    </row>
    <row r="1221" spans="3:5" x14ac:dyDescent="0.3">
      <c r="C1221" s="33">
        <v>44295</v>
      </c>
      <c r="D1221" s="37">
        <v>6607.85</v>
      </c>
      <c r="E1221" s="37">
        <v>46935</v>
      </c>
    </row>
    <row r="1222" spans="3:5" x14ac:dyDescent="0.3">
      <c r="C1222" s="33">
        <v>44294</v>
      </c>
      <c r="D1222" s="37">
        <v>6604.46</v>
      </c>
      <c r="E1222" s="37">
        <v>80889</v>
      </c>
    </row>
    <row r="1223" spans="3:5" x14ac:dyDescent="0.3">
      <c r="C1223" s="33">
        <v>44293</v>
      </c>
      <c r="D1223" s="37">
        <v>6641.56</v>
      </c>
      <c r="E1223" s="37">
        <v>30455</v>
      </c>
    </row>
    <row r="1224" spans="3:5" x14ac:dyDescent="0.3">
      <c r="C1224" s="33">
        <v>44292</v>
      </c>
      <c r="D1224" s="37">
        <v>6532.29</v>
      </c>
      <c r="E1224" s="37">
        <v>19580</v>
      </c>
    </row>
    <row r="1225" spans="3:5" x14ac:dyDescent="0.3">
      <c r="C1225" s="33">
        <v>44291</v>
      </c>
      <c r="D1225" s="37">
        <v>6548.16</v>
      </c>
      <c r="E1225" s="37">
        <v>21589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Teaser</vt:lpstr>
      <vt:lpstr>DATA&gt;</vt:lpstr>
      <vt:lpstr>Profit &amp; Loss</vt:lpstr>
      <vt:lpstr>Quarters</vt:lpstr>
      <vt:lpstr>Balance Sheet</vt:lpstr>
      <vt:lpstr>Cash Flow</vt:lpstr>
      <vt:lpstr>Data Sheet</vt:lpstr>
      <vt:lpstr>Customization</vt:lpstr>
      <vt:lpstr>Input</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Gayatri Jadhao</cp:lastModifiedBy>
  <cp:lastPrinted>2026-04-15T01:02:46Z</cp:lastPrinted>
  <dcterms:created xsi:type="dcterms:W3CDTF">2012-08-17T09:55:37Z</dcterms:created>
  <dcterms:modified xsi:type="dcterms:W3CDTF">2026-04-15T01:02:56Z</dcterms:modified>
</cp:coreProperties>
</file>